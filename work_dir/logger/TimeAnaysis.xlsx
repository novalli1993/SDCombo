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odel\SDCombo\work_dir\logger\"/>
    </mc:Choice>
  </mc:AlternateContent>
  <xr:revisionPtr revIDLastSave="0" documentId="13_ncr:1_{F911E8D4-3960-4AE2-96FA-4BBAC033AFB7}" xr6:coauthVersionLast="47" xr6:coauthVersionMax="47" xr10:uidLastSave="{00000000-0000-0000-0000-000000000000}"/>
  <bookViews>
    <workbookView xWindow="-120" yWindow="-120" windowWidth="29040" windowHeight="16440" xr2:uid="{4B466B06-1C2E-41FE-B2E1-F8C7D5022C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" l="1"/>
  <c r="H124" i="1" s="1"/>
  <c r="E123" i="1"/>
  <c r="H123" i="1" s="1"/>
  <c r="E122" i="1"/>
  <c r="H122" i="1" s="1"/>
  <c r="E121" i="1"/>
  <c r="H121" i="1" s="1"/>
  <c r="E120" i="1"/>
  <c r="H120" i="1" s="1"/>
  <c r="G34" i="2" s="1"/>
  <c r="E119" i="1"/>
  <c r="H119" i="1" s="1"/>
  <c r="E118" i="1"/>
  <c r="H118" i="1" s="1"/>
  <c r="E117" i="1"/>
  <c r="G117" i="1" s="1"/>
  <c r="E116" i="1"/>
  <c r="H116" i="1" s="1"/>
  <c r="E115" i="1"/>
  <c r="H115" i="1" s="1"/>
  <c r="E114" i="1"/>
  <c r="H114" i="1" s="1"/>
  <c r="E113" i="1"/>
  <c r="G113" i="1" s="1"/>
  <c r="E112" i="1"/>
  <c r="H112" i="1" s="1"/>
  <c r="G30" i="2" s="1"/>
  <c r="E111" i="1"/>
  <c r="H111" i="1" s="1"/>
  <c r="E110" i="1"/>
  <c r="H110" i="1" s="1"/>
  <c r="E109" i="1"/>
  <c r="H109" i="1" s="1"/>
  <c r="E108" i="1"/>
  <c r="H108" i="1" s="1"/>
  <c r="E107" i="1"/>
  <c r="H107" i="1" s="1"/>
  <c r="E106" i="1"/>
  <c r="H106" i="1" s="1"/>
  <c r="E105" i="1"/>
  <c r="G105" i="1" s="1"/>
  <c r="E104" i="1"/>
  <c r="H104" i="1" s="1"/>
  <c r="E103" i="1"/>
  <c r="H103" i="1" s="1"/>
  <c r="G26" i="2" s="1"/>
  <c r="E102" i="1"/>
  <c r="H102" i="1" s="1"/>
  <c r="E101" i="1"/>
  <c r="G101" i="1" s="1"/>
  <c r="E100" i="1"/>
  <c r="H100" i="1" s="1"/>
  <c r="E99" i="1"/>
  <c r="H99" i="1" s="1"/>
  <c r="E98" i="1"/>
  <c r="H98" i="1" s="1"/>
  <c r="E97" i="1"/>
  <c r="H97" i="1" s="1"/>
  <c r="E96" i="1"/>
  <c r="H96" i="1" s="1"/>
  <c r="G23" i="2" s="1"/>
  <c r="E95" i="1"/>
  <c r="H95" i="1" s="1"/>
  <c r="E94" i="1"/>
  <c r="H94" i="1" s="1"/>
  <c r="E93" i="1"/>
  <c r="G93" i="1" s="1"/>
  <c r="E92" i="1"/>
  <c r="H92" i="1" s="1"/>
  <c r="E91" i="1"/>
  <c r="H91" i="1" s="1"/>
  <c r="E90" i="1"/>
  <c r="H90" i="1" s="1"/>
  <c r="E89" i="1"/>
  <c r="G89" i="1" s="1"/>
  <c r="E88" i="1"/>
  <c r="H88" i="1" s="1"/>
  <c r="E87" i="1"/>
  <c r="H87" i="1" s="1"/>
  <c r="E86" i="1"/>
  <c r="H86" i="1" s="1"/>
  <c r="E85" i="1"/>
  <c r="H85" i="1" s="1"/>
  <c r="E84" i="1"/>
  <c r="H84" i="1" s="1"/>
  <c r="E83" i="1"/>
  <c r="H83" i="1" s="1"/>
  <c r="E82" i="1"/>
  <c r="H82" i="1" s="1"/>
  <c r="E81" i="1"/>
  <c r="G81" i="1" s="1"/>
  <c r="E80" i="1"/>
  <c r="G80" i="1" s="1"/>
  <c r="E79" i="1"/>
  <c r="H79" i="1" s="1"/>
  <c r="E78" i="1"/>
  <c r="H78" i="1" s="1"/>
  <c r="E77" i="1"/>
  <c r="G77" i="1" s="1"/>
  <c r="E76" i="1"/>
  <c r="H76" i="1" s="1"/>
  <c r="E75" i="1"/>
  <c r="H75" i="1" s="1"/>
  <c r="E74" i="1"/>
  <c r="H74" i="1" s="1"/>
  <c r="E73" i="1"/>
  <c r="H73" i="1" s="1"/>
  <c r="E72" i="1"/>
  <c r="H72" i="1" s="1"/>
  <c r="E71" i="1"/>
  <c r="H71" i="1" s="1"/>
  <c r="E70" i="1"/>
  <c r="H70" i="1" s="1"/>
  <c r="E69" i="1"/>
  <c r="G69" i="1" s="1"/>
  <c r="E68" i="1"/>
  <c r="H68" i="1" s="1"/>
  <c r="E67" i="1"/>
  <c r="H67" i="1" s="1"/>
  <c r="E66" i="1"/>
  <c r="H66" i="1" s="1"/>
  <c r="E65" i="1"/>
  <c r="G65" i="1" s="1"/>
  <c r="E64" i="1"/>
  <c r="H64" i="1" s="1"/>
  <c r="G16" i="2" s="1"/>
  <c r="E63" i="1"/>
  <c r="H63" i="1" s="1"/>
  <c r="E62" i="1"/>
  <c r="H62" i="1" s="1"/>
  <c r="E61" i="1"/>
  <c r="H61" i="1" s="1"/>
  <c r="E60" i="1"/>
  <c r="H60" i="1" s="1"/>
  <c r="G15" i="2" s="1"/>
  <c r="E59" i="1"/>
  <c r="H59" i="1" s="1"/>
  <c r="E58" i="1"/>
  <c r="H58" i="1" s="1"/>
  <c r="E57" i="1"/>
  <c r="G57" i="1" s="1"/>
  <c r="E56" i="1"/>
  <c r="H56" i="1" s="1"/>
  <c r="E55" i="1"/>
  <c r="H55" i="1" s="1"/>
  <c r="E54" i="1"/>
  <c r="H54" i="1" s="1"/>
  <c r="E53" i="1"/>
  <c r="G53" i="1" s="1"/>
  <c r="E52" i="1"/>
  <c r="H52" i="1" s="1"/>
  <c r="E51" i="1"/>
  <c r="H51" i="1" s="1"/>
  <c r="E50" i="1"/>
  <c r="H50" i="1" s="1"/>
  <c r="E49" i="1"/>
  <c r="H49" i="1" s="1"/>
  <c r="E48" i="1"/>
  <c r="H48" i="1" s="1"/>
  <c r="E47" i="1"/>
  <c r="H47" i="1" s="1"/>
  <c r="E46" i="1"/>
  <c r="H46" i="1" s="1"/>
  <c r="E45" i="1"/>
  <c r="G45" i="1" s="1"/>
  <c r="E44" i="1"/>
  <c r="H44" i="1" s="1"/>
  <c r="E43" i="1"/>
  <c r="H43" i="1" s="1"/>
  <c r="E42" i="1"/>
  <c r="H42" i="1" s="1"/>
  <c r="E41" i="1"/>
  <c r="G41" i="1" s="1"/>
  <c r="E40" i="1"/>
  <c r="H40" i="1" s="1"/>
  <c r="E39" i="1"/>
  <c r="H39" i="1" s="1"/>
  <c r="E38" i="1"/>
  <c r="H38" i="1" s="1"/>
  <c r="E37" i="1"/>
  <c r="H37" i="1" s="1"/>
  <c r="E36" i="1"/>
  <c r="H36" i="1" s="1"/>
  <c r="E35" i="1"/>
  <c r="H35" i="1" s="1"/>
  <c r="E34" i="1"/>
  <c r="H34" i="1" s="1"/>
  <c r="E33" i="1"/>
  <c r="G33" i="1" s="1"/>
  <c r="E32" i="1"/>
  <c r="H32" i="1" s="1"/>
  <c r="E31" i="1"/>
  <c r="H31" i="1" s="1"/>
  <c r="E30" i="1"/>
  <c r="H30" i="1" s="1"/>
  <c r="E29" i="1"/>
  <c r="G29" i="1" s="1"/>
  <c r="E28" i="1"/>
  <c r="H28" i="1" s="1"/>
  <c r="E27" i="1"/>
  <c r="H27" i="1" s="1"/>
  <c r="E26" i="1"/>
  <c r="H26" i="1" s="1"/>
  <c r="E25" i="1"/>
  <c r="H25" i="1" s="1"/>
  <c r="E24" i="1"/>
  <c r="H24" i="1" s="1"/>
  <c r="E23" i="1"/>
  <c r="H23" i="1" s="1"/>
  <c r="E22" i="1"/>
  <c r="H22" i="1" s="1"/>
  <c r="E21" i="1"/>
  <c r="G21" i="1" s="1"/>
  <c r="E20" i="1"/>
  <c r="F20" i="1" s="1"/>
  <c r="E19" i="1"/>
  <c r="H19" i="1" s="1"/>
  <c r="E18" i="1"/>
  <c r="H18" i="1" s="1"/>
  <c r="E17" i="1"/>
  <c r="G17" i="1" s="1"/>
  <c r="E16" i="1"/>
  <c r="H16" i="1" s="1"/>
  <c r="E15" i="1"/>
  <c r="H15" i="1" s="1"/>
  <c r="E14" i="1"/>
  <c r="H14" i="1" s="1"/>
  <c r="E13" i="1"/>
  <c r="H13" i="1" s="1"/>
  <c r="E12" i="1"/>
  <c r="H12" i="1" s="1"/>
  <c r="E11" i="1"/>
  <c r="H11" i="1" s="1"/>
  <c r="E10" i="1"/>
  <c r="H10" i="1" s="1"/>
  <c r="E9" i="1"/>
  <c r="G9" i="1" s="1"/>
  <c r="E8" i="1"/>
  <c r="H8" i="1" s="1"/>
  <c r="E7" i="1"/>
  <c r="H7" i="1" s="1"/>
  <c r="E6" i="1"/>
  <c r="H6" i="1" s="1"/>
  <c r="E5" i="1"/>
  <c r="G5" i="1" s="1"/>
  <c r="E4" i="1"/>
  <c r="H4" i="1" s="1"/>
  <c r="E3" i="1"/>
  <c r="G3" i="1" s="1"/>
  <c r="E2" i="1"/>
  <c r="G2" i="1" s="1"/>
  <c r="G33" i="2" l="1"/>
  <c r="G6" i="2"/>
  <c r="G24" i="2"/>
  <c r="G9" i="2"/>
  <c r="G29" i="2"/>
  <c r="G10" i="2"/>
  <c r="G12" i="2"/>
  <c r="G3" i="2"/>
  <c r="G28" i="2"/>
  <c r="H80" i="1"/>
  <c r="G19" i="2" s="1"/>
  <c r="F44" i="1"/>
  <c r="H81" i="1"/>
  <c r="G20" i="2" s="1"/>
  <c r="F104" i="1"/>
  <c r="G44" i="1"/>
  <c r="G58" i="1"/>
  <c r="G62" i="1"/>
  <c r="G82" i="1"/>
  <c r="G86" i="1"/>
  <c r="G104" i="1"/>
  <c r="G20" i="1"/>
  <c r="H20" i="1"/>
  <c r="G110" i="1"/>
  <c r="H41" i="1"/>
  <c r="F3" i="1"/>
  <c r="H21" i="1"/>
  <c r="H65" i="1"/>
  <c r="H5" i="1"/>
  <c r="G22" i="1"/>
  <c r="F68" i="1"/>
  <c r="H105" i="1"/>
  <c r="G27" i="2" s="1"/>
  <c r="F8" i="1"/>
  <c r="G26" i="1"/>
  <c r="H45" i="1"/>
  <c r="G68" i="1"/>
  <c r="H89" i="1"/>
  <c r="G21" i="2" s="1"/>
  <c r="G106" i="1"/>
  <c r="G8" i="1"/>
  <c r="H29" i="1"/>
  <c r="G7" i="2" s="1"/>
  <c r="G46" i="1"/>
  <c r="F92" i="1"/>
  <c r="F32" i="1"/>
  <c r="G50" i="1"/>
  <c r="H69" i="1"/>
  <c r="G92" i="1"/>
  <c r="H113" i="1"/>
  <c r="G31" i="2" s="1"/>
  <c r="H9" i="1"/>
  <c r="G32" i="1"/>
  <c r="F8" i="2" s="1"/>
  <c r="H53" i="1"/>
  <c r="G13" i="2" s="1"/>
  <c r="G70" i="1"/>
  <c r="F116" i="1"/>
  <c r="G10" i="1"/>
  <c r="F56" i="1"/>
  <c r="G74" i="1"/>
  <c r="H93" i="1"/>
  <c r="G22" i="2" s="1"/>
  <c r="G116" i="1"/>
  <c r="G14" i="1"/>
  <c r="H33" i="1"/>
  <c r="G8" i="2" s="1"/>
  <c r="G56" i="1"/>
  <c r="H77" i="1"/>
  <c r="G18" i="2" s="1"/>
  <c r="G94" i="1"/>
  <c r="H117" i="1"/>
  <c r="G32" i="2" s="1"/>
  <c r="H17" i="1"/>
  <c r="G4" i="2" s="1"/>
  <c r="G34" i="1"/>
  <c r="F80" i="1"/>
  <c r="G98" i="1"/>
  <c r="G118" i="1"/>
  <c r="G38" i="1"/>
  <c r="H57" i="1"/>
  <c r="G14" i="2" s="1"/>
  <c r="H101" i="1"/>
  <c r="G25" i="2" s="1"/>
  <c r="G122" i="1"/>
  <c r="H2" i="1"/>
  <c r="F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E26" i="2" s="1"/>
  <c r="F107" i="1"/>
  <c r="F111" i="1"/>
  <c r="F115" i="1"/>
  <c r="F119" i="1"/>
  <c r="F123" i="1"/>
  <c r="H3" i="1"/>
  <c r="G7" i="1"/>
  <c r="G11" i="1"/>
  <c r="G15" i="1"/>
  <c r="G19" i="1"/>
  <c r="G23" i="1"/>
  <c r="G27" i="1"/>
  <c r="G31" i="1"/>
  <c r="G35" i="1"/>
  <c r="G39" i="1"/>
  <c r="G43" i="1"/>
  <c r="G47" i="1"/>
  <c r="G51" i="1"/>
  <c r="F13" i="2" s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F26" i="2" s="1"/>
  <c r="G107" i="1"/>
  <c r="G111" i="1"/>
  <c r="G115" i="1"/>
  <c r="G119" i="1"/>
  <c r="G123" i="1"/>
  <c r="F4" i="1"/>
  <c r="F12" i="1"/>
  <c r="F16" i="1"/>
  <c r="F24" i="1"/>
  <c r="F28" i="1"/>
  <c r="F36" i="1"/>
  <c r="F40" i="1"/>
  <c r="F48" i="1"/>
  <c r="F52" i="1"/>
  <c r="F60" i="1"/>
  <c r="F64" i="1"/>
  <c r="E16" i="2" s="1"/>
  <c r="F72" i="1"/>
  <c r="F76" i="1"/>
  <c r="F84" i="1"/>
  <c r="F88" i="1"/>
  <c r="F96" i="1"/>
  <c r="F100" i="1"/>
  <c r="F108" i="1"/>
  <c r="F112" i="1"/>
  <c r="E30" i="2" s="1"/>
  <c r="F120" i="1"/>
  <c r="E34" i="2" s="1"/>
  <c r="F124" i="1"/>
  <c r="G4" i="1"/>
  <c r="G12" i="1"/>
  <c r="G16" i="1"/>
  <c r="G24" i="1"/>
  <c r="G28" i="1"/>
  <c r="G36" i="1"/>
  <c r="G40" i="1"/>
  <c r="G48" i="1"/>
  <c r="G52" i="1"/>
  <c r="G60" i="1"/>
  <c r="G64" i="1"/>
  <c r="F16" i="2" s="1"/>
  <c r="G72" i="1"/>
  <c r="G76" i="1"/>
  <c r="G84" i="1"/>
  <c r="G88" i="1"/>
  <c r="G96" i="1"/>
  <c r="G100" i="1"/>
  <c r="G108" i="1"/>
  <c r="G112" i="1"/>
  <c r="F30" i="2" s="1"/>
  <c r="G120" i="1"/>
  <c r="F34" i="2" s="1"/>
  <c r="G124" i="1"/>
  <c r="F5" i="1"/>
  <c r="F9" i="1"/>
  <c r="F13" i="1"/>
  <c r="F17" i="1"/>
  <c r="F21" i="1"/>
  <c r="F25" i="1"/>
  <c r="F29" i="1"/>
  <c r="F33" i="1"/>
  <c r="F37" i="1"/>
  <c r="F41" i="1"/>
  <c r="F45" i="1"/>
  <c r="F49" i="1"/>
  <c r="F53" i="1"/>
  <c r="F57" i="1"/>
  <c r="F61" i="1"/>
  <c r="F65" i="1"/>
  <c r="F69" i="1"/>
  <c r="F73" i="1"/>
  <c r="F77" i="1"/>
  <c r="F81" i="1"/>
  <c r="F85" i="1"/>
  <c r="F89" i="1"/>
  <c r="F93" i="1"/>
  <c r="F97" i="1"/>
  <c r="F101" i="1"/>
  <c r="F105" i="1"/>
  <c r="F109" i="1"/>
  <c r="F113" i="1"/>
  <c r="F117" i="1"/>
  <c r="F121" i="1"/>
  <c r="G13" i="1"/>
  <c r="G25" i="1"/>
  <c r="G37" i="1"/>
  <c r="G49" i="1"/>
  <c r="G61" i="1"/>
  <c r="G73" i="1"/>
  <c r="G85" i="1"/>
  <c r="G97" i="1"/>
  <c r="G109" i="1"/>
  <c r="F29" i="2" s="1"/>
  <c r="G121" i="1"/>
  <c r="F2" i="1"/>
  <c r="F6" i="1"/>
  <c r="F10" i="1"/>
  <c r="F14" i="1"/>
  <c r="F18" i="1"/>
  <c r="F22" i="1"/>
  <c r="F26" i="1"/>
  <c r="E6" i="2" s="1"/>
  <c r="F30" i="1"/>
  <c r="F34" i="1"/>
  <c r="E9" i="2" s="1"/>
  <c r="F38" i="1"/>
  <c r="E10" i="2" s="1"/>
  <c r="F42" i="1"/>
  <c r="F46" i="1"/>
  <c r="F50" i="1"/>
  <c r="F54" i="1"/>
  <c r="F58" i="1"/>
  <c r="F62" i="1"/>
  <c r="F66" i="1"/>
  <c r="F70" i="1"/>
  <c r="F74" i="1"/>
  <c r="F78" i="1"/>
  <c r="E19" i="2" s="1"/>
  <c r="F82" i="1"/>
  <c r="F86" i="1"/>
  <c r="E21" i="2" s="1"/>
  <c r="F90" i="1"/>
  <c r="F94" i="1"/>
  <c r="F98" i="1"/>
  <c r="E24" i="2" s="1"/>
  <c r="F102" i="1"/>
  <c r="F106" i="1"/>
  <c r="F110" i="1"/>
  <c r="F114" i="1"/>
  <c r="F118" i="1"/>
  <c r="E33" i="2" s="1"/>
  <c r="F122" i="1"/>
  <c r="G6" i="1"/>
  <c r="G18" i="1"/>
  <c r="F4" i="2" s="1"/>
  <c r="G30" i="1"/>
  <c r="G42" i="1"/>
  <c r="F11" i="2" s="1"/>
  <c r="G54" i="1"/>
  <c r="G66" i="1"/>
  <c r="F17" i="2" s="1"/>
  <c r="G78" i="1"/>
  <c r="G90" i="1"/>
  <c r="G102" i="1"/>
  <c r="G114" i="1"/>
  <c r="F10" i="2" l="1"/>
  <c r="H10" i="2" s="1"/>
  <c r="F15" i="2"/>
  <c r="F19" i="2"/>
  <c r="H19" i="2" s="1"/>
  <c r="F28" i="2"/>
  <c r="E31" i="2"/>
  <c r="F33" i="2"/>
  <c r="H33" i="2" s="1"/>
  <c r="E5" i="2"/>
  <c r="H26" i="2"/>
  <c r="F27" i="2"/>
  <c r="F21" i="2"/>
  <c r="H21" i="2" s="1"/>
  <c r="F20" i="2"/>
  <c r="F31" i="2"/>
  <c r="F18" i="2"/>
  <c r="G11" i="2"/>
  <c r="H16" i="2"/>
  <c r="H34" i="2"/>
  <c r="H30" i="2"/>
  <c r="F3" i="2"/>
  <c r="F22" i="2"/>
  <c r="F6" i="2"/>
  <c r="H6" i="2" s="1"/>
  <c r="F5" i="2"/>
  <c r="E25" i="2"/>
  <c r="E7" i="2"/>
  <c r="F24" i="2"/>
  <c r="H24" i="2" s="1"/>
  <c r="E8" i="2"/>
  <c r="H8" i="2" s="1"/>
  <c r="E23" i="2"/>
  <c r="E18" i="2"/>
  <c r="E22" i="2"/>
  <c r="E11" i="2"/>
  <c r="E32" i="2"/>
  <c r="F9" i="2"/>
  <c r="H9" i="2" s="1"/>
  <c r="F12" i="2"/>
  <c r="E20" i="2"/>
  <c r="F25" i="2"/>
  <c r="F7" i="2"/>
  <c r="G17" i="2"/>
  <c r="F23" i="2"/>
  <c r="E28" i="2"/>
  <c r="H28" i="2" s="1"/>
  <c r="E3" i="2"/>
  <c r="E27" i="2"/>
  <c r="E14" i="2"/>
  <c r="E13" i="2"/>
  <c r="H13" i="2" s="1"/>
  <c r="F14" i="2"/>
  <c r="E12" i="2"/>
  <c r="E17" i="2"/>
  <c r="E4" i="2"/>
  <c r="H4" i="2" s="1"/>
  <c r="E15" i="2"/>
  <c r="H15" i="2" s="1"/>
  <c r="F32" i="2"/>
  <c r="H32" i="2" s="1"/>
  <c r="E29" i="2"/>
  <c r="H29" i="2" s="1"/>
  <c r="G5" i="2"/>
  <c r="G126" i="1"/>
  <c r="G127" i="1" s="1"/>
  <c r="F126" i="1"/>
  <c r="H126" i="1"/>
  <c r="H127" i="1" s="1"/>
  <c r="H20" i="2" l="1"/>
  <c r="H27" i="2"/>
  <c r="F127" i="1"/>
  <c r="E126" i="1" s="1"/>
  <c r="H31" i="2"/>
  <c r="H18" i="2"/>
  <c r="H14" i="2"/>
  <c r="H22" i="2"/>
  <c r="H5" i="2"/>
  <c r="H11" i="2"/>
  <c r="H25" i="2"/>
  <c r="H7" i="2"/>
  <c r="H3" i="2"/>
  <c r="H23" i="2"/>
  <c r="H17" i="2"/>
  <c r="H12" i="2"/>
</calcChain>
</file>

<file path=xl/sharedStrings.xml><?xml version="1.0" encoding="utf-8"?>
<sst xmlns="http://schemas.openxmlformats.org/spreadsheetml/2006/main" count="129" uniqueCount="128">
  <si>
    <t>Total</t>
    <phoneticPr fontId="1" type="noConversion"/>
  </si>
  <si>
    <t>20230728_150833</t>
  </si>
  <si>
    <t>20230728_152434</t>
  </si>
  <si>
    <t>20230728_160802</t>
  </si>
  <si>
    <t>20230728_162147</t>
  </si>
  <si>
    <t>20230728_211711</t>
  </si>
  <si>
    <t>20230730_074226</t>
  </si>
  <si>
    <t>20230730_131421</t>
  </si>
  <si>
    <t>20230731_105559</t>
  </si>
  <si>
    <t>20230731_110122</t>
  </si>
  <si>
    <t>20230802_111329</t>
  </si>
  <si>
    <t>20230802_130450</t>
  </si>
  <si>
    <t>20230802_160146</t>
  </si>
  <si>
    <t>20230802_164633</t>
  </si>
  <si>
    <t>20230802_170457</t>
  </si>
  <si>
    <t>20230802_204358</t>
  </si>
  <si>
    <t>20230803_181329</t>
  </si>
  <si>
    <t>20230803_190110</t>
  </si>
  <si>
    <t>20230803_204453</t>
  </si>
  <si>
    <t>20230804_123637</t>
  </si>
  <si>
    <t>20230804_154655</t>
  </si>
  <si>
    <t>20230804_163004</t>
  </si>
  <si>
    <t>20230804_164734</t>
  </si>
  <si>
    <t>20230804_204744</t>
  </si>
  <si>
    <t>20230804_222235</t>
  </si>
  <si>
    <t>20230805_154709</t>
  </si>
  <si>
    <t>20230805_202214</t>
  </si>
  <si>
    <t>20230806_090018</t>
  </si>
  <si>
    <t>20230806_134041</t>
  </si>
  <si>
    <t>20230806_181949</t>
  </si>
  <si>
    <t>20230806_211145</t>
  </si>
  <si>
    <t>20230807_164017</t>
  </si>
  <si>
    <t>20230807_204708</t>
  </si>
  <si>
    <t>20230808_085650</t>
  </si>
  <si>
    <t>20230808_131252</t>
  </si>
  <si>
    <t>20230808_203524</t>
  </si>
  <si>
    <t>20230808_205841</t>
  </si>
  <si>
    <t>20230809_120044</t>
  </si>
  <si>
    <t>20230809_202343</t>
  </si>
  <si>
    <t>20230809_205650</t>
  </si>
  <si>
    <t>20230810_130727</t>
  </si>
  <si>
    <t>20230810_200628</t>
  </si>
  <si>
    <t>20230810_211350</t>
  </si>
  <si>
    <t>20230810_212534</t>
  </si>
  <si>
    <t>20230810_213258</t>
  </si>
  <si>
    <t>20230811_064658</t>
  </si>
  <si>
    <t>20230811_105109</t>
  </si>
  <si>
    <t>20230811_112905</t>
  </si>
  <si>
    <t>20230811_153904</t>
  </si>
  <si>
    <t>20230811_200817</t>
  </si>
  <si>
    <t>20230812_120616</t>
  </si>
  <si>
    <t>20230812_124122</t>
  </si>
  <si>
    <t>20230812_210904</t>
  </si>
  <si>
    <t>20230813_070127</t>
  </si>
  <si>
    <t>20230813_090649</t>
  </si>
  <si>
    <t>20230813_130704</t>
  </si>
  <si>
    <t>20230813_152854</t>
  </si>
  <si>
    <t>20230813_193846</t>
  </si>
  <si>
    <t>20230813_203334</t>
  </si>
  <si>
    <t>20230814_070247</t>
  </si>
  <si>
    <t>20230814_074356</t>
  </si>
  <si>
    <t>20230814_154152</t>
  </si>
  <si>
    <t>20230814_194721</t>
  </si>
  <si>
    <t>20230815_064644</t>
  </si>
  <si>
    <t>20230816_082802</t>
  </si>
  <si>
    <t>20230816_123716</t>
  </si>
  <si>
    <t>20230816_153418</t>
  </si>
  <si>
    <t>20230816_162627</t>
  </si>
  <si>
    <t>20230816_180352</t>
  </si>
  <si>
    <t>20230816_210331</t>
  </si>
  <si>
    <t>20230817_065318</t>
  </si>
  <si>
    <t>20230817_093254</t>
  </si>
  <si>
    <t>20230817_100407</t>
  </si>
  <si>
    <t>20230817_103124</t>
  </si>
  <si>
    <t>20230817_112655</t>
  </si>
  <si>
    <t>20230817_171840</t>
  </si>
  <si>
    <t>20230817_205825</t>
  </si>
  <si>
    <t>20230818_082204</t>
  </si>
  <si>
    <t>20230818_132716</t>
  </si>
  <si>
    <t>20230818_182654</t>
  </si>
  <si>
    <t>20230819_020022</t>
  </si>
  <si>
    <t>20230819_124508</t>
  </si>
  <si>
    <t>20230819_153749</t>
  </si>
  <si>
    <t>20230819_174932</t>
  </si>
  <si>
    <t>20230819_231747</t>
  </si>
  <si>
    <t>20230820_083812</t>
  </si>
  <si>
    <t>20230820_102239</t>
  </si>
  <si>
    <t>20230820_130824</t>
  </si>
  <si>
    <t>20230820_171340</t>
  </si>
  <si>
    <t>20230820_183221</t>
  </si>
  <si>
    <t>20230820_213959</t>
  </si>
  <si>
    <t>20230821_062516</t>
  </si>
  <si>
    <t>20230821_104849</t>
  </si>
  <si>
    <t>20230821_152810</t>
  </si>
  <si>
    <t>20230821_205512</t>
  </si>
  <si>
    <t>20230822_133737</t>
  </si>
  <si>
    <t>20230822_182357</t>
  </si>
  <si>
    <t>20230823_144153</t>
  </si>
  <si>
    <t>20230823_213627</t>
  </si>
  <si>
    <t>20230824_120706</t>
  </si>
  <si>
    <t>20230824_164806</t>
  </si>
  <si>
    <t>20230824_211913</t>
  </si>
  <si>
    <t>20230825_225522</t>
  </si>
  <si>
    <t>20230826_073826</t>
  </si>
  <si>
    <t>20230826_090357</t>
  </si>
  <si>
    <t>20230826_102647</t>
  </si>
  <si>
    <t>20230827_053357</t>
  </si>
  <si>
    <t>20230827_224813</t>
  </si>
  <si>
    <t>20230828_033835</t>
  </si>
  <si>
    <t>20230828_124303</t>
  </si>
  <si>
    <t>20230828_195406</t>
  </si>
  <si>
    <t>20230829_071557</t>
  </si>
  <si>
    <t>20230830_151212</t>
  </si>
  <si>
    <t>20230830_211613</t>
  </si>
  <si>
    <t>20230831_200804</t>
  </si>
  <si>
    <t>20230831_213235</t>
  </si>
  <si>
    <t>20230831_220805</t>
  </si>
  <si>
    <t>20230901_061729</t>
  </si>
  <si>
    <t>20230901_131623</t>
  </si>
  <si>
    <t>20230911_144833</t>
  </si>
  <si>
    <t>DL_20230827_182357</t>
  </si>
  <si>
    <t>DL_20230827_185154</t>
  </si>
  <si>
    <t>DL_20230830_072554</t>
  </si>
  <si>
    <t>DL_20230831_070701</t>
  </si>
  <si>
    <t>Marks</t>
    <phoneticPr fontId="1" type="noConversion"/>
  </si>
  <si>
    <t>Date</t>
    <phoneticPr fontId="1" type="noConversion"/>
  </si>
  <si>
    <t>Start</t>
    <phoneticPr fontId="1" type="noConversion"/>
  </si>
  <si>
    <t>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</si>
</sst>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m/dd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21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8DF4-B815-4074-973A-DBB3380351E0}">
  <dimension ref="A1:H127"/>
  <sheetViews>
    <sheetView tabSelected="1" workbookViewId="0">
      <selection activeCell="E126" sqref="E126"/>
    </sheetView>
  </sheetViews>
  <sheetFormatPr defaultRowHeight="14.25" x14ac:dyDescent="0.2"/>
  <cols>
    <col min="1" max="1" width="20.125" bestFit="1" customWidth="1"/>
    <col min="2" max="2" width="7.625" bestFit="1" customWidth="1"/>
    <col min="3" max="5" width="8.25" bestFit="1" customWidth="1"/>
    <col min="6" max="6" width="4.5" hidden="1" customWidth="1"/>
    <col min="7" max="8" width="12.75" hidden="1" customWidth="1"/>
  </cols>
  <sheetData>
    <row r="1" spans="1:8" ht="23.25" x14ac:dyDescent="0.2">
      <c r="A1" s="8" t="s">
        <v>124</v>
      </c>
      <c r="B1" s="8" t="s">
        <v>125</v>
      </c>
      <c r="C1" s="8" t="s">
        <v>126</v>
      </c>
      <c r="D1" s="8" t="s">
        <v>127</v>
      </c>
      <c r="E1" s="8" t="s">
        <v>0</v>
      </c>
    </row>
    <row r="2" spans="1:8" x14ac:dyDescent="0.2">
      <c r="A2" s="3" t="s">
        <v>1</v>
      </c>
      <c r="B2" s="9">
        <v>45135</v>
      </c>
      <c r="C2" s="4">
        <v>0.63113425925925926</v>
      </c>
      <c r="D2" s="4">
        <v>0.6320486111111111</v>
      </c>
      <c r="E2" s="4">
        <f>IF(D2&gt;C2,D2-C2,D2-C2+24)</f>
        <v>9.1435185185184675E-4</v>
      </c>
      <c r="F2">
        <f>HOUR(E2)</f>
        <v>0</v>
      </c>
      <c r="G2">
        <f>MINUTE(E2)</f>
        <v>1</v>
      </c>
      <c r="H2">
        <f>SECOND(E2)</f>
        <v>19</v>
      </c>
    </row>
    <row r="3" spans="1:8" x14ac:dyDescent="0.2">
      <c r="A3" s="3" t="s">
        <v>2</v>
      </c>
      <c r="B3" s="9">
        <v>45135</v>
      </c>
      <c r="C3" s="4">
        <v>0.64226851851851852</v>
      </c>
      <c r="D3" s="4">
        <v>0.64246527777777784</v>
      </c>
      <c r="E3" s="4">
        <f>IF(D3&gt;C3,D3-C3,D3-C3+24)</f>
        <v>1.9675925925932702E-4</v>
      </c>
      <c r="F3">
        <f>HOUR(E3)</f>
        <v>0</v>
      </c>
      <c r="G3">
        <f>MINUTE(E3)</f>
        <v>0</v>
      </c>
      <c r="H3">
        <f>SECOND(E3)</f>
        <v>17</v>
      </c>
    </row>
    <row r="4" spans="1:8" x14ac:dyDescent="0.2">
      <c r="A4" s="3" t="s">
        <v>3</v>
      </c>
      <c r="B4" s="9">
        <v>45135</v>
      </c>
      <c r="C4" s="4">
        <v>0.67258101851851848</v>
      </c>
      <c r="D4" s="4">
        <v>0.67890046296296302</v>
      </c>
      <c r="E4" s="4">
        <f>IF(D4&gt;C4,D4-C4,D4-C4+24)</f>
        <v>6.3194444444445441E-3</v>
      </c>
      <c r="F4">
        <f>HOUR(E4)</f>
        <v>0</v>
      </c>
      <c r="G4">
        <f>MINUTE(E4)</f>
        <v>9</v>
      </c>
      <c r="H4">
        <f>SECOND(E4)</f>
        <v>6</v>
      </c>
    </row>
    <row r="5" spans="1:8" x14ac:dyDescent="0.2">
      <c r="A5" s="3" t="s">
        <v>4</v>
      </c>
      <c r="B5" s="9">
        <v>45135</v>
      </c>
      <c r="C5" s="4">
        <v>0.68203703703703711</v>
      </c>
      <c r="D5" s="4">
        <v>0.71006944444444453</v>
      </c>
      <c r="E5" s="4">
        <f>IF(D5&gt;C5,D5-C5,D5-C5+24)</f>
        <v>2.8032407407407423E-2</v>
      </c>
      <c r="F5">
        <f>HOUR(E5)</f>
        <v>0</v>
      </c>
      <c r="G5">
        <f>MINUTE(E5)</f>
        <v>40</v>
      </c>
      <c r="H5">
        <f>SECOND(E5)</f>
        <v>22</v>
      </c>
    </row>
    <row r="6" spans="1:8" x14ac:dyDescent="0.2">
      <c r="A6" s="3" t="s">
        <v>5</v>
      </c>
      <c r="B6" s="9">
        <v>45135</v>
      </c>
      <c r="C6" s="4">
        <v>0.88717592592592587</v>
      </c>
      <c r="D6" s="4">
        <v>0.2205324074074074</v>
      </c>
      <c r="E6" s="4">
        <f>IF(D6&gt;C6,D6-C6,D6-C6+24)</f>
        <v>23.333356481481481</v>
      </c>
      <c r="F6">
        <f t="shared" ref="F6:F7" si="0">HOUR(E6)</f>
        <v>8</v>
      </c>
      <c r="G6">
        <f t="shared" ref="G6:G7" si="1">MINUTE(E6)</f>
        <v>0</v>
      </c>
      <c r="H6">
        <f t="shared" ref="H6:H7" si="2">SECOND(E6)</f>
        <v>2</v>
      </c>
    </row>
    <row r="7" spans="1:8" x14ac:dyDescent="0.2">
      <c r="A7" s="3" t="s">
        <v>6</v>
      </c>
      <c r="B7" s="9">
        <v>45137</v>
      </c>
      <c r="C7" s="4">
        <v>0.32140046296296299</v>
      </c>
      <c r="D7" s="4">
        <v>0.54792824074074076</v>
      </c>
      <c r="E7" s="4">
        <f>IF(D7&gt;C7,D7-C7,D7-C7+24)</f>
        <v>0.22652777777777777</v>
      </c>
      <c r="F7">
        <f t="shared" si="0"/>
        <v>5</v>
      </c>
      <c r="G7">
        <f t="shared" si="1"/>
        <v>26</v>
      </c>
      <c r="H7">
        <f t="shared" si="2"/>
        <v>12</v>
      </c>
    </row>
    <row r="8" spans="1:8" x14ac:dyDescent="0.2">
      <c r="A8" s="3" t="s">
        <v>7</v>
      </c>
      <c r="B8" s="9">
        <v>45137</v>
      </c>
      <c r="C8" s="4">
        <v>0.55182870370370374</v>
      </c>
      <c r="D8" s="4">
        <v>0.68597222222222232</v>
      </c>
      <c r="E8" s="4">
        <f>IF(D8&gt;C8,D8-C8,D8-C8+24)</f>
        <v>0.13414351851851858</v>
      </c>
      <c r="F8">
        <f>HOUR(E8)</f>
        <v>3</v>
      </c>
      <c r="G8">
        <f>MINUTE(E8)</f>
        <v>13</v>
      </c>
      <c r="H8">
        <f>SECOND(E8)</f>
        <v>10</v>
      </c>
    </row>
    <row r="9" spans="1:8" x14ac:dyDescent="0.2">
      <c r="A9" s="3" t="s">
        <v>8</v>
      </c>
      <c r="B9" s="9">
        <v>45138</v>
      </c>
      <c r="C9" s="4">
        <v>0.45572916666666669</v>
      </c>
      <c r="D9" s="4">
        <v>0.45599537037037036</v>
      </c>
      <c r="E9" s="4">
        <f>IF(D9&gt;C9,D9-C9,D9-C9+24)</f>
        <v>2.662037037036713E-4</v>
      </c>
      <c r="F9">
        <f>HOUR(E9)</f>
        <v>0</v>
      </c>
      <c r="G9">
        <f>MINUTE(E9)</f>
        <v>0</v>
      </c>
      <c r="H9">
        <f>SECOND(E9)</f>
        <v>23</v>
      </c>
    </row>
    <row r="10" spans="1:8" x14ac:dyDescent="0.2">
      <c r="A10" s="3" t="s">
        <v>9</v>
      </c>
      <c r="B10" s="9">
        <v>45138</v>
      </c>
      <c r="C10" s="4">
        <v>0.45945601851851853</v>
      </c>
      <c r="D10" s="4">
        <v>0.52969907407407402</v>
      </c>
      <c r="E10" s="4">
        <f>IF(D10&gt;C10,D10-C10,D10-C10+24)</f>
        <v>7.0243055555555489E-2</v>
      </c>
      <c r="F10">
        <f>HOUR(E10)</f>
        <v>1</v>
      </c>
      <c r="G10">
        <f>MINUTE(E10)</f>
        <v>41</v>
      </c>
      <c r="H10">
        <f>SECOND(E10)</f>
        <v>9</v>
      </c>
    </row>
    <row r="11" spans="1:8" x14ac:dyDescent="0.2">
      <c r="A11" s="3" t="s">
        <v>10</v>
      </c>
      <c r="B11" s="9">
        <v>45140</v>
      </c>
      <c r="C11" s="4">
        <v>0.46789351851851851</v>
      </c>
      <c r="D11" s="4">
        <v>0.49177083333333332</v>
      </c>
      <c r="E11" s="4">
        <f>IF(D11&gt;C11,D11-C11,D11-C11+24)</f>
        <v>2.387731481481481E-2</v>
      </c>
      <c r="F11">
        <f>HOUR(E11)</f>
        <v>0</v>
      </c>
      <c r="G11">
        <f>MINUTE(E11)</f>
        <v>34</v>
      </c>
      <c r="H11">
        <f>SECOND(E11)</f>
        <v>23</v>
      </c>
    </row>
    <row r="12" spans="1:8" x14ac:dyDescent="0.2">
      <c r="A12" s="3" t="s">
        <v>11</v>
      </c>
      <c r="B12" s="9">
        <v>45140</v>
      </c>
      <c r="C12" s="4">
        <v>0.54530092592592594</v>
      </c>
      <c r="D12" s="4">
        <v>0.66167824074074078</v>
      </c>
      <c r="E12" s="4">
        <f>IF(D12&gt;C12,D12-C12,D12-C12+24)</f>
        <v>0.11637731481481484</v>
      </c>
      <c r="F12">
        <f t="shared" ref="F12:F15" si="3">HOUR(E12)</f>
        <v>2</v>
      </c>
      <c r="G12">
        <f t="shared" ref="G12:G15" si="4">MINUTE(E12)</f>
        <v>47</v>
      </c>
      <c r="H12">
        <f t="shared" ref="H12:H15" si="5">SECOND(E12)</f>
        <v>35</v>
      </c>
    </row>
    <row r="13" spans="1:8" x14ac:dyDescent="0.2">
      <c r="A13" s="3" t="s">
        <v>12</v>
      </c>
      <c r="B13" s="9">
        <v>45140</v>
      </c>
      <c r="C13" s="4">
        <v>0.6680787037037037</v>
      </c>
      <c r="D13" s="4">
        <v>0.69855324074074077</v>
      </c>
      <c r="E13" s="4">
        <f>IF(D13&gt;C13,D13-C13,D13-C13+24)</f>
        <v>3.0474537037037064E-2</v>
      </c>
      <c r="F13">
        <f t="shared" si="3"/>
        <v>0</v>
      </c>
      <c r="G13">
        <f t="shared" si="4"/>
        <v>43</v>
      </c>
      <c r="H13">
        <f t="shared" si="5"/>
        <v>53</v>
      </c>
    </row>
    <row r="14" spans="1:8" x14ac:dyDescent="0.2">
      <c r="A14" s="3" t="s">
        <v>13</v>
      </c>
      <c r="B14" s="9">
        <v>45140</v>
      </c>
      <c r="C14" s="4">
        <v>0.69917824074074064</v>
      </c>
      <c r="D14" s="4">
        <v>0.70849537037037036</v>
      </c>
      <c r="E14" s="4">
        <f>IF(D14&gt;C14,D14-C14,D14-C14+24)</f>
        <v>9.3171296296297168E-3</v>
      </c>
      <c r="F14">
        <f t="shared" si="3"/>
        <v>0</v>
      </c>
      <c r="G14">
        <f t="shared" si="4"/>
        <v>13</v>
      </c>
      <c r="H14">
        <f t="shared" si="5"/>
        <v>25</v>
      </c>
    </row>
    <row r="15" spans="1:8" x14ac:dyDescent="0.2">
      <c r="A15" s="3" t="s">
        <v>14</v>
      </c>
      <c r="B15" s="9">
        <v>45140</v>
      </c>
      <c r="C15" s="4">
        <v>0.71193287037037034</v>
      </c>
      <c r="D15" s="4">
        <v>0.80585648148148159</v>
      </c>
      <c r="E15" s="4">
        <f>IF(D15&gt;C15,D15-C15,D15-C15+24)</f>
        <v>9.3923611111111249E-2</v>
      </c>
      <c r="F15">
        <f t="shared" si="3"/>
        <v>2</v>
      </c>
      <c r="G15">
        <f t="shared" si="4"/>
        <v>15</v>
      </c>
      <c r="H15">
        <f t="shared" si="5"/>
        <v>15</v>
      </c>
    </row>
    <row r="16" spans="1:8" x14ac:dyDescent="0.2">
      <c r="A16" s="3" t="s">
        <v>15</v>
      </c>
      <c r="B16" s="9">
        <v>45140</v>
      </c>
      <c r="C16" s="4">
        <v>0.8641550925925926</v>
      </c>
      <c r="D16" s="4">
        <v>0.88790509259259265</v>
      </c>
      <c r="E16" s="4">
        <f>IF(D16&gt;C16,D16-C16,D16-C16+24)</f>
        <v>2.3750000000000049E-2</v>
      </c>
      <c r="F16">
        <f>HOUR(E16)</f>
        <v>0</v>
      </c>
      <c r="G16">
        <f>MINUTE(E16)</f>
        <v>34</v>
      </c>
      <c r="H16">
        <f>SECOND(E16)</f>
        <v>12</v>
      </c>
    </row>
    <row r="17" spans="1:8" x14ac:dyDescent="0.2">
      <c r="A17" s="3" t="s">
        <v>16</v>
      </c>
      <c r="B17" s="9">
        <v>45141</v>
      </c>
      <c r="C17" s="4">
        <v>0.75962962962962965</v>
      </c>
      <c r="D17" s="4">
        <v>0.77895833333333331</v>
      </c>
      <c r="E17" s="4">
        <f>IF(D17&gt;C17,D17-C17,D17-C17+24)</f>
        <v>1.9328703703703654E-2</v>
      </c>
      <c r="F17">
        <f>HOUR(E17)</f>
        <v>0</v>
      </c>
      <c r="G17">
        <f>MINUTE(E17)</f>
        <v>27</v>
      </c>
      <c r="H17">
        <f>SECOND(E17)</f>
        <v>50</v>
      </c>
    </row>
    <row r="18" spans="1:8" x14ac:dyDescent="0.2">
      <c r="A18" s="3" t="s">
        <v>17</v>
      </c>
      <c r="B18" s="9">
        <v>45141</v>
      </c>
      <c r="C18" s="4">
        <v>0.79274305555555558</v>
      </c>
      <c r="D18" s="4">
        <v>0.8630902777777778</v>
      </c>
      <c r="E18" s="4">
        <f t="shared" ref="E18:E26" si="6">IF(D18&gt;C18,D18-C18,D18-C18+24)</f>
        <v>7.0347222222222228E-2</v>
      </c>
      <c r="F18">
        <f t="shared" ref="F18:F25" si="7">HOUR(E18)</f>
        <v>1</v>
      </c>
      <c r="G18">
        <f t="shared" ref="G18:G25" si="8">MINUTE(E18)</f>
        <v>41</v>
      </c>
      <c r="H18">
        <f t="shared" ref="H18:H25" si="9">SECOND(E18)</f>
        <v>18</v>
      </c>
    </row>
    <row r="19" spans="1:8" x14ac:dyDescent="0.2">
      <c r="A19" s="3" t="s">
        <v>18</v>
      </c>
      <c r="B19" s="9">
        <v>45141</v>
      </c>
      <c r="C19" s="4">
        <v>0.86482638888888896</v>
      </c>
      <c r="D19" s="4">
        <v>0.43181712962962965</v>
      </c>
      <c r="E19" s="4">
        <f t="shared" si="6"/>
        <v>23.566990740740742</v>
      </c>
      <c r="F19">
        <f t="shared" si="7"/>
        <v>13</v>
      </c>
      <c r="G19">
        <f t="shared" si="8"/>
        <v>36</v>
      </c>
      <c r="H19">
        <f t="shared" si="9"/>
        <v>28</v>
      </c>
    </row>
    <row r="20" spans="1:8" x14ac:dyDescent="0.2">
      <c r="A20" s="3" t="s">
        <v>19</v>
      </c>
      <c r="B20" s="9">
        <v>45142</v>
      </c>
      <c r="C20" s="4">
        <v>0.52578703703703711</v>
      </c>
      <c r="D20" s="4">
        <v>0.63484953703703706</v>
      </c>
      <c r="E20" s="4">
        <f t="shared" si="6"/>
        <v>0.10906249999999995</v>
      </c>
      <c r="F20">
        <f t="shared" si="7"/>
        <v>2</v>
      </c>
      <c r="G20">
        <f t="shared" si="8"/>
        <v>37</v>
      </c>
      <c r="H20">
        <f t="shared" si="9"/>
        <v>3</v>
      </c>
    </row>
    <row r="21" spans="1:8" x14ac:dyDescent="0.2">
      <c r="A21" s="3" t="s">
        <v>20</v>
      </c>
      <c r="B21" s="9">
        <v>45142</v>
      </c>
      <c r="C21" s="4">
        <v>0.65790509259259256</v>
      </c>
      <c r="D21" s="4">
        <v>0.66781250000000003</v>
      </c>
      <c r="E21" s="4">
        <f t="shared" si="6"/>
        <v>9.9074074074074758E-3</v>
      </c>
      <c r="F21">
        <f t="shared" si="7"/>
        <v>0</v>
      </c>
      <c r="G21">
        <f t="shared" si="8"/>
        <v>14</v>
      </c>
      <c r="H21">
        <f t="shared" si="9"/>
        <v>16</v>
      </c>
    </row>
    <row r="22" spans="1:8" x14ac:dyDescent="0.2">
      <c r="A22" s="3" t="s">
        <v>21</v>
      </c>
      <c r="B22" s="9">
        <v>45142</v>
      </c>
      <c r="C22" s="4">
        <v>0.68784722222222217</v>
      </c>
      <c r="D22" s="4">
        <v>0.6977430555555556</v>
      </c>
      <c r="E22" s="4">
        <f t="shared" si="6"/>
        <v>9.895833333333437E-3</v>
      </c>
      <c r="F22">
        <f t="shared" si="7"/>
        <v>0</v>
      </c>
      <c r="G22">
        <f t="shared" si="8"/>
        <v>14</v>
      </c>
      <c r="H22">
        <f t="shared" si="9"/>
        <v>15</v>
      </c>
    </row>
    <row r="23" spans="1:8" x14ac:dyDescent="0.2">
      <c r="A23" s="3" t="s">
        <v>22</v>
      </c>
      <c r="B23" s="9">
        <v>45142</v>
      </c>
      <c r="C23" s="4">
        <v>0.69998842592592592</v>
      </c>
      <c r="D23" s="4">
        <v>0.71236111111111111</v>
      </c>
      <c r="E23" s="4">
        <f t="shared" si="6"/>
        <v>1.2372685185185195E-2</v>
      </c>
      <c r="F23">
        <f t="shared" si="7"/>
        <v>0</v>
      </c>
      <c r="G23">
        <f t="shared" si="8"/>
        <v>17</v>
      </c>
      <c r="H23">
        <f t="shared" si="9"/>
        <v>49</v>
      </c>
    </row>
    <row r="24" spans="1:8" x14ac:dyDescent="0.2">
      <c r="A24" s="3" t="s">
        <v>23</v>
      </c>
      <c r="B24" s="9">
        <v>45142</v>
      </c>
      <c r="C24" s="4">
        <v>0.8668865740740741</v>
      </c>
      <c r="D24" s="4">
        <v>0.9321180555555556</v>
      </c>
      <c r="E24" s="4">
        <f t="shared" si="6"/>
        <v>6.5231481481481501E-2</v>
      </c>
      <c r="F24">
        <f t="shared" si="7"/>
        <v>1</v>
      </c>
      <c r="G24">
        <f t="shared" si="8"/>
        <v>33</v>
      </c>
      <c r="H24">
        <f t="shared" si="9"/>
        <v>56</v>
      </c>
    </row>
    <row r="25" spans="1:8" x14ac:dyDescent="0.2">
      <c r="A25" s="3" t="s">
        <v>24</v>
      </c>
      <c r="B25" s="9">
        <v>45142</v>
      </c>
      <c r="C25" s="4">
        <v>0.9327199074074074</v>
      </c>
      <c r="D25" s="4">
        <v>0.5198032407407408</v>
      </c>
      <c r="E25" s="4">
        <f t="shared" si="6"/>
        <v>23.587083333333332</v>
      </c>
      <c r="F25">
        <f t="shared" si="7"/>
        <v>14</v>
      </c>
      <c r="G25">
        <f t="shared" si="8"/>
        <v>5</v>
      </c>
      <c r="H25">
        <f t="shared" si="9"/>
        <v>24</v>
      </c>
    </row>
    <row r="26" spans="1:8" x14ac:dyDescent="0.2">
      <c r="A26" s="3" t="s">
        <v>25</v>
      </c>
      <c r="B26" s="9">
        <v>45143</v>
      </c>
      <c r="C26" s="4">
        <v>0.65804398148148147</v>
      </c>
      <c r="D26" s="4">
        <v>0.78894675925925928</v>
      </c>
      <c r="E26" s="4">
        <f t="shared" si="6"/>
        <v>0.13090277777777781</v>
      </c>
      <c r="F26">
        <f>HOUR(E26)</f>
        <v>3</v>
      </c>
      <c r="G26">
        <f>MINUTE(E26)</f>
        <v>8</v>
      </c>
      <c r="H26">
        <f>SECOND(E26)</f>
        <v>30</v>
      </c>
    </row>
    <row r="27" spans="1:8" x14ac:dyDescent="0.2">
      <c r="A27" s="3" t="s">
        <v>26</v>
      </c>
      <c r="B27" s="9">
        <v>45143</v>
      </c>
      <c r="C27" s="4">
        <v>0.84914351851851855</v>
      </c>
      <c r="D27" s="4">
        <v>0.37372685185185189</v>
      </c>
      <c r="E27" s="4">
        <f>IF(D27&gt;C27,D27-C27,D27-C27+24)</f>
        <v>23.524583333333332</v>
      </c>
      <c r="F27">
        <f t="shared" ref="F27:F30" si="10">HOUR(E27)</f>
        <v>12</v>
      </c>
      <c r="G27">
        <f t="shared" ref="G27:G30" si="11">MINUTE(E27)</f>
        <v>35</v>
      </c>
      <c r="H27">
        <f t="shared" ref="H27:H30" si="12">SECOND(E27)</f>
        <v>24</v>
      </c>
    </row>
    <row r="28" spans="1:8" x14ac:dyDescent="0.2">
      <c r="A28" s="3" t="s">
        <v>27</v>
      </c>
      <c r="B28" s="9">
        <v>45144</v>
      </c>
      <c r="C28" s="4">
        <v>0.37561342592592589</v>
      </c>
      <c r="D28" s="4">
        <v>0.53571759259259266</v>
      </c>
      <c r="E28" s="4">
        <f>IF(D28&gt;C28,D28-C28,D28-C28+24)</f>
        <v>0.16010416666666677</v>
      </c>
      <c r="F28">
        <f t="shared" si="10"/>
        <v>3</v>
      </c>
      <c r="G28">
        <f t="shared" si="11"/>
        <v>50</v>
      </c>
      <c r="H28">
        <f t="shared" si="12"/>
        <v>33</v>
      </c>
    </row>
    <row r="29" spans="1:8" x14ac:dyDescent="0.2">
      <c r="A29" s="3" t="s">
        <v>28</v>
      </c>
      <c r="B29" s="9">
        <v>45144</v>
      </c>
      <c r="C29" s="4">
        <v>0.57026620370370373</v>
      </c>
      <c r="D29" s="4">
        <v>0.72160879629629626</v>
      </c>
      <c r="E29" s="4">
        <f>IF(D29&gt;C29,D29-C29,D29-C29+24)</f>
        <v>0.15134259259259253</v>
      </c>
      <c r="F29">
        <f t="shared" si="10"/>
        <v>3</v>
      </c>
      <c r="G29">
        <f t="shared" si="11"/>
        <v>37</v>
      </c>
      <c r="H29">
        <f t="shared" si="12"/>
        <v>56</v>
      </c>
    </row>
    <row r="30" spans="1:8" x14ac:dyDescent="0.2">
      <c r="A30" s="3" t="s">
        <v>29</v>
      </c>
      <c r="B30" s="9">
        <v>45144</v>
      </c>
      <c r="C30" s="4">
        <v>0.76396990740740733</v>
      </c>
      <c r="D30" s="4">
        <v>0.82552083333333337</v>
      </c>
      <c r="E30" s="4">
        <f>IF(D30&gt;C30,D30-C30,D30-C30+24)</f>
        <v>6.1550925925926037E-2</v>
      </c>
      <c r="F30">
        <f t="shared" si="10"/>
        <v>1</v>
      </c>
      <c r="G30">
        <f t="shared" si="11"/>
        <v>28</v>
      </c>
      <c r="H30">
        <f t="shared" si="12"/>
        <v>38</v>
      </c>
    </row>
    <row r="31" spans="1:8" x14ac:dyDescent="0.2">
      <c r="A31" s="3" t="s">
        <v>30</v>
      </c>
      <c r="B31" s="9">
        <v>45144</v>
      </c>
      <c r="C31" s="4">
        <v>0.88336805555555553</v>
      </c>
      <c r="D31" s="4">
        <v>0.13111111111111109</v>
      </c>
      <c r="E31" s="4">
        <f>IF(D31&gt;C31,D31-C31,D31-C31+24)</f>
        <v>23.247743055555556</v>
      </c>
      <c r="F31">
        <f>HOUR(E31)</f>
        <v>5</v>
      </c>
      <c r="G31">
        <f>MINUTE(E31)</f>
        <v>56</v>
      </c>
      <c r="H31">
        <f>SECOND(E31)</f>
        <v>45</v>
      </c>
    </row>
    <row r="32" spans="1:8" x14ac:dyDescent="0.2">
      <c r="A32" s="3" t="s">
        <v>31</v>
      </c>
      <c r="B32" s="9">
        <v>45145</v>
      </c>
      <c r="C32" s="4">
        <v>0.69499999999999995</v>
      </c>
      <c r="D32" s="4">
        <v>0.85553240740740744</v>
      </c>
      <c r="E32" s="4">
        <f t="shared" ref="E32:E38" si="13">IF(D32&gt;C32,D32-C32,D32-C32+24)</f>
        <v>0.16053240740740748</v>
      </c>
      <c r="F32">
        <f t="shared" ref="F32:F38" si="14">HOUR(E32)</f>
        <v>3</v>
      </c>
      <c r="G32">
        <f t="shared" ref="G32:G38" si="15">MINUTE(E32)</f>
        <v>51</v>
      </c>
      <c r="H32">
        <f t="shared" ref="H32:H38" si="16">SECOND(E32)</f>
        <v>10</v>
      </c>
    </row>
    <row r="33" spans="1:8" x14ac:dyDescent="0.2">
      <c r="A33" s="3" t="s">
        <v>32</v>
      </c>
      <c r="B33" s="9">
        <v>45145</v>
      </c>
      <c r="C33" s="4">
        <v>0.86660879629629628</v>
      </c>
      <c r="D33" s="4">
        <v>0.3520833333333333</v>
      </c>
      <c r="E33" s="4">
        <f t="shared" si="13"/>
        <v>23.485474537037035</v>
      </c>
      <c r="F33">
        <f t="shared" si="14"/>
        <v>11</v>
      </c>
      <c r="G33">
        <f t="shared" si="15"/>
        <v>39</v>
      </c>
      <c r="H33">
        <f t="shared" si="16"/>
        <v>5</v>
      </c>
    </row>
    <row r="34" spans="1:8" x14ac:dyDescent="0.2">
      <c r="A34" s="3" t="s">
        <v>33</v>
      </c>
      <c r="B34" s="9">
        <v>45146</v>
      </c>
      <c r="C34" s="4">
        <v>0.37313657407407402</v>
      </c>
      <c r="D34" s="4">
        <v>0.52649305555555559</v>
      </c>
      <c r="E34" s="4">
        <f t="shared" si="13"/>
        <v>0.15335648148148157</v>
      </c>
      <c r="F34">
        <f t="shared" si="14"/>
        <v>3</v>
      </c>
      <c r="G34">
        <f t="shared" si="15"/>
        <v>40</v>
      </c>
      <c r="H34">
        <f t="shared" si="16"/>
        <v>50</v>
      </c>
    </row>
    <row r="35" spans="1:8" x14ac:dyDescent="0.2">
      <c r="A35" s="3" t="s">
        <v>34</v>
      </c>
      <c r="B35" s="9">
        <v>45146</v>
      </c>
      <c r="C35" s="4">
        <v>0.55094907407407401</v>
      </c>
      <c r="D35" s="4">
        <v>0.74553240740740734</v>
      </c>
      <c r="E35" s="4">
        <f t="shared" si="13"/>
        <v>0.19458333333333333</v>
      </c>
      <c r="F35">
        <f t="shared" si="14"/>
        <v>4</v>
      </c>
      <c r="G35">
        <f t="shared" si="15"/>
        <v>40</v>
      </c>
      <c r="H35">
        <f t="shared" si="16"/>
        <v>12</v>
      </c>
    </row>
    <row r="36" spans="1:8" x14ac:dyDescent="0.2">
      <c r="A36" s="3" t="s">
        <v>35</v>
      </c>
      <c r="B36" s="9">
        <v>45146</v>
      </c>
      <c r="C36" s="4">
        <v>0.85833333333333339</v>
      </c>
      <c r="D36" s="4">
        <v>0.87322916666666661</v>
      </c>
      <c r="E36" s="4">
        <f t="shared" si="13"/>
        <v>1.4895833333333219E-2</v>
      </c>
      <c r="F36">
        <f t="shared" si="14"/>
        <v>0</v>
      </c>
      <c r="G36">
        <f t="shared" si="15"/>
        <v>21</v>
      </c>
      <c r="H36">
        <f t="shared" si="16"/>
        <v>27</v>
      </c>
    </row>
    <row r="37" spans="1:8" x14ac:dyDescent="0.2">
      <c r="A37" s="3" t="s">
        <v>36</v>
      </c>
      <c r="B37" s="9">
        <v>45146</v>
      </c>
      <c r="C37" s="4">
        <v>0.87444444444444447</v>
      </c>
      <c r="D37" s="4">
        <v>0.49634259259259261</v>
      </c>
      <c r="E37" s="4">
        <f t="shared" si="13"/>
        <v>23.621898148148148</v>
      </c>
      <c r="F37">
        <f t="shared" si="14"/>
        <v>14</v>
      </c>
      <c r="G37">
        <f t="shared" si="15"/>
        <v>55</v>
      </c>
      <c r="H37">
        <f t="shared" si="16"/>
        <v>32</v>
      </c>
    </row>
    <row r="38" spans="1:8" x14ac:dyDescent="0.2">
      <c r="A38" s="3" t="s">
        <v>37</v>
      </c>
      <c r="B38" s="9">
        <v>45147</v>
      </c>
      <c r="C38" s="4">
        <v>0.50082175925925931</v>
      </c>
      <c r="D38" s="4">
        <v>0.72450231481481486</v>
      </c>
      <c r="E38" s="4">
        <f t="shared" si="13"/>
        <v>0.22368055555555555</v>
      </c>
      <c r="F38">
        <f t="shared" si="14"/>
        <v>5</v>
      </c>
      <c r="G38">
        <f t="shared" si="15"/>
        <v>22</v>
      </c>
      <c r="H38">
        <f t="shared" si="16"/>
        <v>6</v>
      </c>
    </row>
    <row r="39" spans="1:8" x14ac:dyDescent="0.2">
      <c r="A39" s="3" t="s">
        <v>38</v>
      </c>
      <c r="B39" s="9">
        <v>45147</v>
      </c>
      <c r="C39" s="4">
        <v>0.85045138888888883</v>
      </c>
      <c r="D39" s="4">
        <v>0.85359953703703706</v>
      </c>
      <c r="E39" s="4">
        <f>IF(D39&gt;C39,D39-C39,D39-C39+24)</f>
        <v>3.1481481481482332E-3</v>
      </c>
      <c r="F39">
        <f>HOUR(E39)</f>
        <v>0</v>
      </c>
      <c r="G39">
        <f>MINUTE(E39)</f>
        <v>4</v>
      </c>
      <c r="H39">
        <f>SECOND(E39)</f>
        <v>32</v>
      </c>
    </row>
    <row r="40" spans="1:8" x14ac:dyDescent="0.2">
      <c r="A40" s="3" t="s">
        <v>39</v>
      </c>
      <c r="B40" s="9">
        <v>45147</v>
      </c>
      <c r="C40" s="4">
        <v>0.87322916666666661</v>
      </c>
      <c r="D40" s="4">
        <v>0.52281250000000001</v>
      </c>
      <c r="E40" s="4">
        <f>IF(D40&gt;C40,D40-C40,D40-C40+24)</f>
        <v>23.649583333333332</v>
      </c>
      <c r="F40">
        <f>HOUR(E40)</f>
        <v>15</v>
      </c>
      <c r="G40">
        <f>MINUTE(E40)</f>
        <v>35</v>
      </c>
      <c r="H40">
        <f>SECOND(E40)</f>
        <v>24</v>
      </c>
    </row>
    <row r="41" spans="1:8" x14ac:dyDescent="0.2">
      <c r="A41" s="3" t="s">
        <v>40</v>
      </c>
      <c r="B41" s="9">
        <v>45148</v>
      </c>
      <c r="C41" s="4">
        <v>0.54719907407407409</v>
      </c>
      <c r="D41" s="4">
        <v>0.76858796296296295</v>
      </c>
      <c r="E41" s="4">
        <f>IF(D41&gt;C41,D41-C41,D41-C41+24)</f>
        <v>0.22138888888888886</v>
      </c>
      <c r="F41">
        <f>HOUR(E41)</f>
        <v>5</v>
      </c>
      <c r="G41">
        <f>MINUTE(E41)</f>
        <v>18</v>
      </c>
      <c r="H41">
        <f>SECOND(E41)</f>
        <v>48</v>
      </c>
    </row>
    <row r="42" spans="1:8" x14ac:dyDescent="0.2">
      <c r="A42" s="3" t="s">
        <v>41</v>
      </c>
      <c r="B42" s="9">
        <v>45148</v>
      </c>
      <c r="C42" s="4">
        <v>0.83821759259259254</v>
      </c>
      <c r="D42" s="4">
        <v>0.85084490740740737</v>
      </c>
      <c r="E42" s="4">
        <f>IF(D42&gt;C42,D42-C42,D42-C42+24)</f>
        <v>1.2627314814814827E-2</v>
      </c>
      <c r="F42">
        <f>HOUR(E42)</f>
        <v>0</v>
      </c>
      <c r="G42">
        <f>MINUTE(E42)</f>
        <v>18</v>
      </c>
      <c r="H42">
        <f>SECOND(E42)</f>
        <v>11</v>
      </c>
    </row>
    <row r="43" spans="1:8" x14ac:dyDescent="0.2">
      <c r="A43" s="3" t="s">
        <v>42</v>
      </c>
      <c r="B43" s="9">
        <v>45148</v>
      </c>
      <c r="C43" s="4">
        <v>0.88498842592592597</v>
      </c>
      <c r="D43" s="4">
        <v>0.89134259259259263</v>
      </c>
      <c r="E43" s="4">
        <f t="shared" ref="E43:E52" si="17">IF(D43&gt;C43,D43-C43,D43-C43+24)</f>
        <v>6.3541666666666607E-3</v>
      </c>
      <c r="F43">
        <f t="shared" ref="F43:F52" si="18">HOUR(E43)</f>
        <v>0</v>
      </c>
      <c r="G43">
        <f t="shared" ref="G43:G52" si="19">MINUTE(E43)</f>
        <v>9</v>
      </c>
      <c r="H43">
        <f t="shared" ref="H43:H52" si="20">SECOND(E43)</f>
        <v>9</v>
      </c>
    </row>
    <row r="44" spans="1:8" x14ac:dyDescent="0.2">
      <c r="A44" s="3" t="s">
        <v>43</v>
      </c>
      <c r="B44" s="9">
        <v>45148</v>
      </c>
      <c r="C44" s="4">
        <v>0.8931365740740741</v>
      </c>
      <c r="D44" s="4">
        <v>0.89751157407407411</v>
      </c>
      <c r="E44" s="4">
        <f t="shared" si="17"/>
        <v>4.3750000000000178E-3</v>
      </c>
      <c r="F44">
        <f t="shared" si="18"/>
        <v>0</v>
      </c>
      <c r="G44">
        <f t="shared" si="19"/>
        <v>6</v>
      </c>
      <c r="H44">
        <f t="shared" si="20"/>
        <v>18</v>
      </c>
    </row>
    <row r="45" spans="1:8" x14ac:dyDescent="0.2">
      <c r="A45" s="3" t="s">
        <v>44</v>
      </c>
      <c r="B45" s="9">
        <v>45148</v>
      </c>
      <c r="C45" s="4">
        <v>0.89832175925925928</v>
      </c>
      <c r="D45" s="4">
        <v>0.27148148148148149</v>
      </c>
      <c r="E45" s="4">
        <f t="shared" si="17"/>
        <v>23.373159722222223</v>
      </c>
      <c r="F45">
        <f t="shared" si="18"/>
        <v>8</v>
      </c>
      <c r="G45">
        <f t="shared" si="19"/>
        <v>57</v>
      </c>
      <c r="H45">
        <f t="shared" si="20"/>
        <v>21</v>
      </c>
    </row>
    <row r="46" spans="1:8" x14ac:dyDescent="0.2">
      <c r="A46" s="3" t="s">
        <v>45</v>
      </c>
      <c r="B46" s="9">
        <v>45149</v>
      </c>
      <c r="C46" s="4">
        <v>0.28295138888888888</v>
      </c>
      <c r="D46" s="4">
        <v>0.43887731481481485</v>
      </c>
      <c r="E46" s="4">
        <f t="shared" si="17"/>
        <v>0.15592592592592597</v>
      </c>
      <c r="F46">
        <f t="shared" si="18"/>
        <v>3</v>
      </c>
      <c r="G46">
        <f t="shared" si="19"/>
        <v>44</v>
      </c>
      <c r="H46">
        <f t="shared" si="20"/>
        <v>32</v>
      </c>
    </row>
    <row r="47" spans="1:8" x14ac:dyDescent="0.2">
      <c r="A47" s="3" t="s">
        <v>46</v>
      </c>
      <c r="B47" s="9">
        <v>45149</v>
      </c>
      <c r="C47" s="4">
        <v>0.45251157407407411</v>
      </c>
      <c r="D47" s="4">
        <v>0.46760416666666665</v>
      </c>
      <c r="E47" s="4">
        <f t="shared" si="17"/>
        <v>1.5092592592592546E-2</v>
      </c>
      <c r="F47">
        <f t="shared" si="18"/>
        <v>0</v>
      </c>
      <c r="G47">
        <f t="shared" si="19"/>
        <v>21</v>
      </c>
      <c r="H47">
        <f t="shared" si="20"/>
        <v>44</v>
      </c>
    </row>
    <row r="48" spans="1:8" x14ac:dyDescent="0.2">
      <c r="A48" s="3" t="s">
        <v>47</v>
      </c>
      <c r="B48" s="9">
        <v>45149</v>
      </c>
      <c r="C48" s="4">
        <v>0.47892361111111109</v>
      </c>
      <c r="D48" s="4">
        <v>0.63989583333333333</v>
      </c>
      <c r="E48" s="4">
        <f t="shared" si="17"/>
        <v>0.16097222222222224</v>
      </c>
      <c r="F48">
        <f t="shared" si="18"/>
        <v>3</v>
      </c>
      <c r="G48">
        <f t="shared" si="19"/>
        <v>51</v>
      </c>
      <c r="H48">
        <f t="shared" si="20"/>
        <v>48</v>
      </c>
    </row>
    <row r="49" spans="1:8" x14ac:dyDescent="0.2">
      <c r="A49" s="3" t="s">
        <v>48</v>
      </c>
      <c r="B49" s="9">
        <v>45149</v>
      </c>
      <c r="C49" s="4">
        <v>0.65244212962962966</v>
      </c>
      <c r="D49" s="4">
        <v>0.81623842592592588</v>
      </c>
      <c r="E49" s="4">
        <f t="shared" si="17"/>
        <v>0.16379629629629622</v>
      </c>
      <c r="F49">
        <f t="shared" si="18"/>
        <v>3</v>
      </c>
      <c r="G49">
        <f t="shared" si="19"/>
        <v>55</v>
      </c>
      <c r="H49">
        <f t="shared" si="20"/>
        <v>52</v>
      </c>
    </row>
    <row r="50" spans="1:8" x14ac:dyDescent="0.2">
      <c r="A50" s="3" t="s">
        <v>49</v>
      </c>
      <c r="B50" s="9">
        <v>45149</v>
      </c>
      <c r="C50" s="4">
        <v>0.83930555555555564</v>
      </c>
      <c r="D50" s="4">
        <v>0.39480324074074075</v>
      </c>
      <c r="E50" s="4">
        <f t="shared" si="17"/>
        <v>23.555497685185184</v>
      </c>
      <c r="F50">
        <f t="shared" si="18"/>
        <v>13</v>
      </c>
      <c r="G50">
        <f t="shared" si="19"/>
        <v>19</v>
      </c>
      <c r="H50">
        <f t="shared" si="20"/>
        <v>55</v>
      </c>
    </row>
    <row r="51" spans="1:8" x14ac:dyDescent="0.2">
      <c r="A51" s="3" t="s">
        <v>50</v>
      </c>
      <c r="B51" s="9">
        <v>45150</v>
      </c>
      <c r="C51" s="4">
        <v>0.50476851851851856</v>
      </c>
      <c r="D51" s="4">
        <v>0.52827546296296302</v>
      </c>
      <c r="E51" s="4">
        <f t="shared" si="17"/>
        <v>2.3506944444444455E-2</v>
      </c>
      <c r="F51">
        <f t="shared" si="18"/>
        <v>0</v>
      </c>
      <c r="G51">
        <f t="shared" si="19"/>
        <v>33</v>
      </c>
      <c r="H51">
        <f t="shared" si="20"/>
        <v>51</v>
      </c>
    </row>
    <row r="52" spans="1:8" x14ac:dyDescent="0.2">
      <c r="A52" s="3" t="s">
        <v>51</v>
      </c>
      <c r="B52" s="9">
        <v>45150</v>
      </c>
      <c r="C52" s="4">
        <v>0.52913194444444445</v>
      </c>
      <c r="D52" s="4">
        <v>0.85908564814814825</v>
      </c>
      <c r="E52" s="4">
        <f t="shared" si="17"/>
        <v>0.3299537037037038</v>
      </c>
      <c r="F52">
        <f t="shared" si="18"/>
        <v>7</v>
      </c>
      <c r="G52">
        <f t="shared" si="19"/>
        <v>55</v>
      </c>
      <c r="H52">
        <f t="shared" si="20"/>
        <v>8</v>
      </c>
    </row>
    <row r="53" spans="1:8" x14ac:dyDescent="0.2">
      <c r="A53" s="3" t="s">
        <v>52</v>
      </c>
      <c r="B53" s="9">
        <v>45150</v>
      </c>
      <c r="C53" s="4">
        <v>0.88165509259259256</v>
      </c>
      <c r="D53" s="4">
        <v>0.28953703703703704</v>
      </c>
      <c r="E53" s="4">
        <f t="shared" ref="E53:E59" si="21">IF(D53&gt;C53,D53-C53,D53-C53+24)</f>
        <v>23.407881944444444</v>
      </c>
      <c r="F53">
        <f t="shared" ref="F53:F59" si="22">HOUR(E53)</f>
        <v>9</v>
      </c>
      <c r="G53">
        <f t="shared" ref="G53:G59" si="23">MINUTE(E53)</f>
        <v>47</v>
      </c>
      <c r="H53">
        <f t="shared" ref="H53:H59" si="24">SECOND(E53)</f>
        <v>21</v>
      </c>
    </row>
    <row r="54" spans="1:8" x14ac:dyDescent="0.2">
      <c r="A54" s="3" t="s">
        <v>53</v>
      </c>
      <c r="B54" s="9">
        <v>45151</v>
      </c>
      <c r="C54" s="4">
        <v>0.29303240740740738</v>
      </c>
      <c r="D54" s="4">
        <v>0.37815972222222222</v>
      </c>
      <c r="E54" s="4">
        <f t="shared" si="21"/>
        <v>8.5127314814814836E-2</v>
      </c>
      <c r="F54">
        <f t="shared" si="22"/>
        <v>2</v>
      </c>
      <c r="G54">
        <f t="shared" si="23"/>
        <v>2</v>
      </c>
      <c r="H54">
        <f t="shared" si="24"/>
        <v>35</v>
      </c>
    </row>
    <row r="55" spans="1:8" x14ac:dyDescent="0.2">
      <c r="A55" s="3" t="s">
        <v>54</v>
      </c>
      <c r="B55" s="9">
        <v>45151</v>
      </c>
      <c r="C55" s="4">
        <v>0.38008101851851855</v>
      </c>
      <c r="D55" s="4">
        <v>0.45881944444444445</v>
      </c>
      <c r="E55" s="4">
        <f t="shared" si="21"/>
        <v>7.8738425925925892E-2</v>
      </c>
      <c r="F55">
        <f t="shared" si="22"/>
        <v>1</v>
      </c>
      <c r="G55">
        <f t="shared" si="23"/>
        <v>53</v>
      </c>
      <c r="H55">
        <f t="shared" si="24"/>
        <v>23</v>
      </c>
    </row>
    <row r="56" spans="1:8" x14ac:dyDescent="0.2">
      <c r="A56" s="3" t="s">
        <v>55</v>
      </c>
      <c r="B56" s="9">
        <v>45151</v>
      </c>
      <c r="C56" s="4">
        <v>0.54692129629629627</v>
      </c>
      <c r="D56" s="4">
        <v>0.64446759259259256</v>
      </c>
      <c r="E56" s="4">
        <f t="shared" si="21"/>
        <v>9.7546296296296298E-2</v>
      </c>
      <c r="F56">
        <f t="shared" si="22"/>
        <v>2</v>
      </c>
      <c r="G56">
        <f t="shared" si="23"/>
        <v>20</v>
      </c>
      <c r="H56">
        <f t="shared" si="24"/>
        <v>28</v>
      </c>
    </row>
    <row r="57" spans="1:8" x14ac:dyDescent="0.2">
      <c r="A57" s="3" t="s">
        <v>56</v>
      </c>
      <c r="B57" s="9">
        <v>45151</v>
      </c>
      <c r="C57" s="4">
        <v>0.64543981481481483</v>
      </c>
      <c r="D57" s="4">
        <v>0.75427083333333333</v>
      </c>
      <c r="E57" s="4">
        <f t="shared" si="21"/>
        <v>0.10883101851851851</v>
      </c>
      <c r="F57">
        <f t="shared" si="22"/>
        <v>2</v>
      </c>
      <c r="G57">
        <f t="shared" si="23"/>
        <v>36</v>
      </c>
      <c r="H57">
        <f t="shared" si="24"/>
        <v>43</v>
      </c>
    </row>
    <row r="58" spans="1:8" x14ac:dyDescent="0.2">
      <c r="A58" s="3" t="s">
        <v>57</v>
      </c>
      <c r="B58" s="9">
        <v>45151</v>
      </c>
      <c r="C58" s="4">
        <v>0.81915509259259256</v>
      </c>
      <c r="D58" s="4">
        <v>0.85157407407407415</v>
      </c>
      <c r="E58" s="4">
        <f t="shared" si="21"/>
        <v>3.241898148148159E-2</v>
      </c>
      <c r="F58">
        <f t="shared" si="22"/>
        <v>0</v>
      </c>
      <c r="G58">
        <f t="shared" si="23"/>
        <v>46</v>
      </c>
      <c r="H58">
        <f t="shared" si="24"/>
        <v>41</v>
      </c>
    </row>
    <row r="59" spans="1:8" x14ac:dyDescent="0.2">
      <c r="A59" s="3" t="s">
        <v>58</v>
      </c>
      <c r="B59" s="9">
        <v>45151</v>
      </c>
      <c r="C59" s="4">
        <v>0.85700231481481481</v>
      </c>
      <c r="D59" s="4">
        <v>0.18864583333333332</v>
      </c>
      <c r="E59" s="4">
        <f t="shared" si="21"/>
        <v>23.331643518518518</v>
      </c>
      <c r="F59">
        <f t="shared" si="22"/>
        <v>7</v>
      </c>
      <c r="G59">
        <f t="shared" si="23"/>
        <v>57</v>
      </c>
      <c r="H59">
        <f t="shared" si="24"/>
        <v>34</v>
      </c>
    </row>
    <row r="60" spans="1:8" x14ac:dyDescent="0.2">
      <c r="A60" s="3" t="s">
        <v>59</v>
      </c>
      <c r="B60" s="9">
        <v>45152</v>
      </c>
      <c r="C60" s="4">
        <v>0.29393518518518519</v>
      </c>
      <c r="D60" s="4">
        <v>0.31821759259259258</v>
      </c>
      <c r="E60" s="4">
        <f>IF(D60&gt;C60,D60-C60,D60-C60+24)</f>
        <v>2.4282407407407391E-2</v>
      </c>
      <c r="F60">
        <f t="shared" ref="F60:F62" si="25">HOUR(E60)</f>
        <v>0</v>
      </c>
      <c r="G60">
        <f t="shared" ref="G60:G62" si="26">MINUTE(E60)</f>
        <v>34</v>
      </c>
      <c r="H60">
        <f t="shared" ref="H60:H62" si="27">SECOND(E60)</f>
        <v>58</v>
      </c>
    </row>
    <row r="61" spans="1:8" x14ac:dyDescent="0.2">
      <c r="A61" s="3" t="s">
        <v>60</v>
      </c>
      <c r="B61" s="9">
        <v>45152</v>
      </c>
      <c r="C61" s="4">
        <v>0.3225115740740741</v>
      </c>
      <c r="D61" s="4">
        <v>0.41971064814814812</v>
      </c>
      <c r="E61" s="4">
        <f>IF(D61&gt;C61,D61-C61,D61-C61+24)</f>
        <v>9.7199074074074021E-2</v>
      </c>
      <c r="F61">
        <f t="shared" si="25"/>
        <v>2</v>
      </c>
      <c r="G61">
        <f t="shared" si="26"/>
        <v>19</v>
      </c>
      <c r="H61">
        <f t="shared" si="27"/>
        <v>58</v>
      </c>
    </row>
    <row r="62" spans="1:8" x14ac:dyDescent="0.2">
      <c r="A62" s="3" t="s">
        <v>61</v>
      </c>
      <c r="B62" s="9">
        <v>45152</v>
      </c>
      <c r="C62" s="4">
        <v>0.65447916666666661</v>
      </c>
      <c r="D62" s="4">
        <v>0.73499999999999999</v>
      </c>
      <c r="E62" s="4">
        <f>IF(D62&gt;C62,D62-C62,D62-C62+24)</f>
        <v>8.0520833333333375E-2</v>
      </c>
      <c r="F62">
        <f t="shared" si="25"/>
        <v>1</v>
      </c>
      <c r="G62">
        <f t="shared" si="26"/>
        <v>55</v>
      </c>
      <c r="H62">
        <f t="shared" si="27"/>
        <v>57</v>
      </c>
    </row>
    <row r="63" spans="1:8" x14ac:dyDescent="0.2">
      <c r="A63" s="3" t="s">
        <v>62</v>
      </c>
      <c r="B63" s="9">
        <v>45152</v>
      </c>
      <c r="C63" s="4">
        <v>0.82488425925925923</v>
      </c>
      <c r="D63" s="4">
        <v>0.26303240740740741</v>
      </c>
      <c r="E63" s="4">
        <f>IF(D63&gt;C63,D63-C63,D63-C63+24)</f>
        <v>23.438148148148148</v>
      </c>
      <c r="F63">
        <f>HOUR(E63)</f>
        <v>10</v>
      </c>
      <c r="G63">
        <f>MINUTE(E63)</f>
        <v>30</v>
      </c>
      <c r="H63">
        <f>SECOND(E63)</f>
        <v>56</v>
      </c>
    </row>
    <row r="64" spans="1:8" x14ac:dyDescent="0.2">
      <c r="A64" s="3" t="s">
        <v>63</v>
      </c>
      <c r="B64" s="9">
        <v>45153</v>
      </c>
      <c r="C64" s="4">
        <v>0.28266203703703702</v>
      </c>
      <c r="D64" s="4">
        <v>0.78215277777777781</v>
      </c>
      <c r="E64" s="4">
        <f t="shared" ref="E64:E77" si="28">IF(D64&gt;C64,D64-C64,D64-C64+24)</f>
        <v>0.49949074074074079</v>
      </c>
      <c r="F64">
        <f t="shared" ref="F64:F77" si="29">HOUR(E64)</f>
        <v>11</v>
      </c>
      <c r="G64">
        <f t="shared" ref="G64:G77" si="30">MINUTE(E64)</f>
        <v>59</v>
      </c>
      <c r="H64">
        <f t="shared" ref="H64:H77" si="31">SECOND(E64)</f>
        <v>16</v>
      </c>
    </row>
    <row r="65" spans="1:8" x14ac:dyDescent="0.2">
      <c r="A65" s="3" t="s">
        <v>64</v>
      </c>
      <c r="B65" s="9">
        <v>45154</v>
      </c>
      <c r="C65" s="4">
        <v>0.35303240740740738</v>
      </c>
      <c r="D65" s="4">
        <v>0.50084490740740739</v>
      </c>
      <c r="E65" s="4">
        <f t="shared" si="28"/>
        <v>0.14781250000000001</v>
      </c>
      <c r="F65">
        <f t="shared" si="29"/>
        <v>3</v>
      </c>
      <c r="G65">
        <f t="shared" si="30"/>
        <v>32</v>
      </c>
      <c r="H65">
        <f t="shared" si="31"/>
        <v>51</v>
      </c>
    </row>
    <row r="66" spans="1:8" x14ac:dyDescent="0.2">
      <c r="A66" s="3" t="s">
        <v>65</v>
      </c>
      <c r="B66" s="9">
        <v>45154</v>
      </c>
      <c r="C66" s="4">
        <v>0.52633101851851849</v>
      </c>
      <c r="D66" s="4">
        <v>0.63940972222222225</v>
      </c>
      <c r="E66" s="4">
        <f t="shared" si="28"/>
        <v>0.11307870370370376</v>
      </c>
      <c r="F66">
        <f t="shared" si="29"/>
        <v>2</v>
      </c>
      <c r="G66">
        <f t="shared" si="30"/>
        <v>42</v>
      </c>
      <c r="H66">
        <f t="shared" si="31"/>
        <v>50</v>
      </c>
    </row>
    <row r="67" spans="1:8" x14ac:dyDescent="0.2">
      <c r="A67" s="3" t="s">
        <v>66</v>
      </c>
      <c r="B67" s="9">
        <v>45154</v>
      </c>
      <c r="C67" s="4">
        <v>0.64900462962962957</v>
      </c>
      <c r="D67" s="4">
        <v>0.67850694444444448</v>
      </c>
      <c r="E67" s="4">
        <f t="shared" si="28"/>
        <v>2.9502314814814912E-2</v>
      </c>
      <c r="F67">
        <f t="shared" si="29"/>
        <v>0</v>
      </c>
      <c r="G67">
        <f t="shared" si="30"/>
        <v>42</v>
      </c>
      <c r="H67">
        <f t="shared" si="31"/>
        <v>29</v>
      </c>
    </row>
    <row r="68" spans="1:8" x14ac:dyDescent="0.2">
      <c r="A68" s="3" t="s">
        <v>67</v>
      </c>
      <c r="B68" s="9">
        <v>45154</v>
      </c>
      <c r="C68" s="4">
        <v>0.6853935185185186</v>
      </c>
      <c r="D68" s="4">
        <v>0.73800925925925931</v>
      </c>
      <c r="E68" s="4">
        <f t="shared" si="28"/>
        <v>5.2615740740740713E-2</v>
      </c>
      <c r="F68">
        <f t="shared" si="29"/>
        <v>1</v>
      </c>
      <c r="G68">
        <f t="shared" si="30"/>
        <v>15</v>
      </c>
      <c r="H68">
        <f t="shared" si="31"/>
        <v>46</v>
      </c>
    </row>
    <row r="69" spans="1:8" x14ac:dyDescent="0.2">
      <c r="A69" s="3" t="s">
        <v>68</v>
      </c>
      <c r="B69" s="9">
        <v>45154</v>
      </c>
      <c r="C69" s="4">
        <v>0.75302083333333336</v>
      </c>
      <c r="D69" s="4">
        <v>0.85468749999999993</v>
      </c>
      <c r="E69" s="4">
        <f t="shared" si="28"/>
        <v>0.10166666666666657</v>
      </c>
      <c r="F69">
        <f t="shared" si="29"/>
        <v>2</v>
      </c>
      <c r="G69">
        <f t="shared" si="30"/>
        <v>26</v>
      </c>
      <c r="H69">
        <f t="shared" si="31"/>
        <v>24</v>
      </c>
    </row>
    <row r="70" spans="1:8" x14ac:dyDescent="0.2">
      <c r="A70" s="3" t="s">
        <v>69</v>
      </c>
      <c r="B70" s="9">
        <v>45154</v>
      </c>
      <c r="C70" s="4">
        <v>0.87787037037037041</v>
      </c>
      <c r="D70" s="4">
        <v>0.28052083333333333</v>
      </c>
      <c r="E70" s="4">
        <f t="shared" si="28"/>
        <v>23.402650462962963</v>
      </c>
      <c r="F70">
        <f t="shared" si="29"/>
        <v>9</v>
      </c>
      <c r="G70">
        <f t="shared" si="30"/>
        <v>39</v>
      </c>
      <c r="H70">
        <f t="shared" si="31"/>
        <v>49</v>
      </c>
    </row>
    <row r="71" spans="1:8" x14ac:dyDescent="0.2">
      <c r="A71" s="3" t="s">
        <v>70</v>
      </c>
      <c r="B71" s="9">
        <v>45155</v>
      </c>
      <c r="C71" s="4">
        <v>0.28734953703703703</v>
      </c>
      <c r="D71" s="4">
        <v>0.30223379629629626</v>
      </c>
      <c r="E71" s="4">
        <f t="shared" si="28"/>
        <v>1.4884259259259236E-2</v>
      </c>
      <c r="F71">
        <f t="shared" si="29"/>
        <v>0</v>
      </c>
      <c r="G71">
        <f t="shared" si="30"/>
        <v>21</v>
      </c>
      <c r="H71">
        <f t="shared" si="31"/>
        <v>26</v>
      </c>
    </row>
    <row r="72" spans="1:8" x14ac:dyDescent="0.2">
      <c r="A72" s="3" t="s">
        <v>71</v>
      </c>
      <c r="B72" s="9">
        <v>45155</v>
      </c>
      <c r="C72" s="4">
        <v>0.39818287037037042</v>
      </c>
      <c r="D72" s="4">
        <v>0.41614583333333338</v>
      </c>
      <c r="E72" s="4">
        <f t="shared" si="28"/>
        <v>1.7962962962962958E-2</v>
      </c>
      <c r="F72">
        <f t="shared" si="29"/>
        <v>0</v>
      </c>
      <c r="G72">
        <f t="shared" si="30"/>
        <v>25</v>
      </c>
      <c r="H72">
        <f t="shared" si="31"/>
        <v>52</v>
      </c>
    </row>
    <row r="73" spans="1:8" x14ac:dyDescent="0.2">
      <c r="A73" s="3" t="s">
        <v>72</v>
      </c>
      <c r="B73" s="9">
        <v>45155</v>
      </c>
      <c r="C73" s="4">
        <v>0.41986111111111107</v>
      </c>
      <c r="D73" s="4">
        <v>0.43732638888888892</v>
      </c>
      <c r="E73" s="4">
        <f t="shared" si="28"/>
        <v>1.7465277777777843E-2</v>
      </c>
      <c r="F73">
        <f t="shared" si="29"/>
        <v>0</v>
      </c>
      <c r="G73">
        <f t="shared" si="30"/>
        <v>25</v>
      </c>
      <c r="H73">
        <f t="shared" si="31"/>
        <v>9</v>
      </c>
    </row>
    <row r="74" spans="1:8" x14ac:dyDescent="0.2">
      <c r="A74" s="3" t="s">
        <v>73</v>
      </c>
      <c r="B74" s="9">
        <v>45155</v>
      </c>
      <c r="C74" s="4">
        <v>0.43880787037037039</v>
      </c>
      <c r="D74" s="4">
        <v>0.45589120370370373</v>
      </c>
      <c r="E74" s="4">
        <f t="shared" si="28"/>
        <v>1.7083333333333339E-2</v>
      </c>
      <c r="F74">
        <f t="shared" si="29"/>
        <v>0</v>
      </c>
      <c r="G74">
        <f t="shared" si="30"/>
        <v>24</v>
      </c>
      <c r="H74">
        <f t="shared" si="31"/>
        <v>36</v>
      </c>
    </row>
    <row r="75" spans="1:8" x14ac:dyDescent="0.2">
      <c r="A75" s="3" t="s">
        <v>74</v>
      </c>
      <c r="B75" s="9">
        <v>45155</v>
      </c>
      <c r="C75" s="4">
        <v>0.4774768518518519</v>
      </c>
      <c r="D75" s="4">
        <v>0.71289351851851857</v>
      </c>
      <c r="E75" s="4">
        <f t="shared" si="28"/>
        <v>0.23541666666666666</v>
      </c>
      <c r="F75">
        <f t="shared" si="29"/>
        <v>5</v>
      </c>
      <c r="G75">
        <f t="shared" si="30"/>
        <v>39</v>
      </c>
      <c r="H75">
        <f t="shared" si="31"/>
        <v>0</v>
      </c>
    </row>
    <row r="76" spans="1:8" x14ac:dyDescent="0.2">
      <c r="A76" s="3" t="s">
        <v>75</v>
      </c>
      <c r="B76" s="9">
        <v>45155</v>
      </c>
      <c r="C76" s="4">
        <v>0.72163194444444445</v>
      </c>
      <c r="D76" s="4">
        <v>0.84130787037037036</v>
      </c>
      <c r="E76" s="4">
        <f t="shared" si="28"/>
        <v>0.11967592592592591</v>
      </c>
      <c r="F76">
        <f t="shared" si="29"/>
        <v>2</v>
      </c>
      <c r="G76">
        <f t="shared" si="30"/>
        <v>52</v>
      </c>
      <c r="H76">
        <f t="shared" si="31"/>
        <v>20</v>
      </c>
    </row>
    <row r="77" spans="1:8" x14ac:dyDescent="0.2">
      <c r="A77" s="3" t="s">
        <v>76</v>
      </c>
      <c r="B77" s="9">
        <v>45155</v>
      </c>
      <c r="C77" s="4">
        <v>0.8744791666666667</v>
      </c>
      <c r="D77" s="4">
        <v>0.33622685185185186</v>
      </c>
      <c r="E77" s="4">
        <f t="shared" si="28"/>
        <v>23.461747685185184</v>
      </c>
      <c r="F77">
        <f t="shared" si="29"/>
        <v>11</v>
      </c>
      <c r="G77">
        <f t="shared" si="30"/>
        <v>4</v>
      </c>
      <c r="H77">
        <f t="shared" si="31"/>
        <v>55</v>
      </c>
    </row>
    <row r="78" spans="1:8" x14ac:dyDescent="0.2">
      <c r="A78" s="3" t="s">
        <v>77</v>
      </c>
      <c r="B78" s="9">
        <v>45156</v>
      </c>
      <c r="C78" s="4">
        <v>0.34884259259259259</v>
      </c>
      <c r="D78" s="4">
        <v>0.52170138888888895</v>
      </c>
      <c r="E78" s="4">
        <f t="shared" ref="E78:E88" si="32">IF(D78&gt;C78,D78-C78,D78-C78+24)</f>
        <v>0.17285879629629636</v>
      </c>
      <c r="F78">
        <f t="shared" ref="F78:F88" si="33">HOUR(E78)</f>
        <v>4</v>
      </c>
      <c r="G78">
        <f t="shared" ref="G78:G88" si="34">MINUTE(E78)</f>
        <v>8</v>
      </c>
      <c r="H78">
        <f t="shared" ref="H78:H88" si="35">SECOND(E78)</f>
        <v>55</v>
      </c>
    </row>
    <row r="79" spans="1:8" x14ac:dyDescent="0.2">
      <c r="A79" s="3" t="s">
        <v>78</v>
      </c>
      <c r="B79" s="9">
        <v>45156</v>
      </c>
      <c r="C79" s="4">
        <v>0.56081018518518522</v>
      </c>
      <c r="D79" s="4">
        <v>0.75839120370370372</v>
      </c>
      <c r="E79" s="4">
        <f t="shared" si="32"/>
        <v>0.1975810185185185</v>
      </c>
      <c r="F79">
        <f t="shared" si="33"/>
        <v>4</v>
      </c>
      <c r="G79">
        <f t="shared" si="34"/>
        <v>44</v>
      </c>
      <c r="H79">
        <f t="shared" si="35"/>
        <v>31</v>
      </c>
    </row>
    <row r="80" spans="1:8" x14ac:dyDescent="0.2">
      <c r="A80" s="3" t="s">
        <v>79</v>
      </c>
      <c r="B80" s="9">
        <v>45156</v>
      </c>
      <c r="C80" s="4">
        <v>0.7690393518518519</v>
      </c>
      <c r="D80" s="4">
        <v>0.85820601851851863</v>
      </c>
      <c r="E80" s="4">
        <f t="shared" si="32"/>
        <v>8.9166666666666727E-2</v>
      </c>
      <c r="F80">
        <f t="shared" si="33"/>
        <v>2</v>
      </c>
      <c r="G80">
        <f t="shared" si="34"/>
        <v>8</v>
      </c>
      <c r="H80">
        <f t="shared" si="35"/>
        <v>24</v>
      </c>
    </row>
    <row r="81" spans="1:8" x14ac:dyDescent="0.2">
      <c r="A81" s="3" t="s">
        <v>80</v>
      </c>
      <c r="B81" s="9">
        <v>45157</v>
      </c>
      <c r="C81" s="4">
        <v>8.4247685185185175E-2</v>
      </c>
      <c r="D81" s="4">
        <v>0.47855324074074074</v>
      </c>
      <c r="E81" s="4">
        <f t="shared" si="32"/>
        <v>0.39430555555555558</v>
      </c>
      <c r="F81">
        <f t="shared" si="33"/>
        <v>9</v>
      </c>
      <c r="G81">
        <f t="shared" si="34"/>
        <v>27</v>
      </c>
      <c r="H81">
        <f t="shared" si="35"/>
        <v>48</v>
      </c>
    </row>
    <row r="82" spans="1:8" x14ac:dyDescent="0.2">
      <c r="A82" s="3" t="s">
        <v>81</v>
      </c>
      <c r="B82" s="9">
        <v>45157</v>
      </c>
      <c r="C82" s="4">
        <v>0.53200231481481486</v>
      </c>
      <c r="D82" s="4">
        <v>0.63351851851851848</v>
      </c>
      <c r="E82" s="4">
        <f t="shared" si="32"/>
        <v>0.10151620370370362</v>
      </c>
      <c r="F82">
        <f t="shared" si="33"/>
        <v>2</v>
      </c>
      <c r="G82">
        <f t="shared" si="34"/>
        <v>26</v>
      </c>
      <c r="H82">
        <f t="shared" si="35"/>
        <v>11</v>
      </c>
    </row>
    <row r="83" spans="1:8" x14ac:dyDescent="0.2">
      <c r="A83" s="3" t="s">
        <v>82</v>
      </c>
      <c r="B83" s="9">
        <v>45157</v>
      </c>
      <c r="C83" s="4">
        <v>0.65190972222222221</v>
      </c>
      <c r="D83" s="4">
        <v>0.71187500000000004</v>
      </c>
      <c r="E83" s="4">
        <f t="shared" si="32"/>
        <v>5.9965277777777826E-2</v>
      </c>
      <c r="F83">
        <f t="shared" si="33"/>
        <v>1</v>
      </c>
      <c r="G83">
        <f t="shared" si="34"/>
        <v>26</v>
      </c>
      <c r="H83">
        <f t="shared" si="35"/>
        <v>21</v>
      </c>
    </row>
    <row r="84" spans="1:8" x14ac:dyDescent="0.2">
      <c r="A84" s="3" t="s">
        <v>83</v>
      </c>
      <c r="B84" s="9">
        <v>45157</v>
      </c>
      <c r="C84" s="4">
        <v>0.74337962962962967</v>
      </c>
      <c r="D84" s="4">
        <v>0.84738425925925931</v>
      </c>
      <c r="E84" s="4">
        <f t="shared" si="32"/>
        <v>0.10400462962962964</v>
      </c>
      <c r="F84">
        <f t="shared" si="33"/>
        <v>2</v>
      </c>
      <c r="G84">
        <f t="shared" si="34"/>
        <v>29</v>
      </c>
      <c r="H84">
        <f t="shared" si="35"/>
        <v>46</v>
      </c>
    </row>
    <row r="85" spans="1:8" x14ac:dyDescent="0.2">
      <c r="A85" s="3" t="s">
        <v>84</v>
      </c>
      <c r="B85" s="9">
        <v>45157</v>
      </c>
      <c r="C85" s="4">
        <v>0.97114583333333337</v>
      </c>
      <c r="D85" s="4">
        <v>0.29238425925925926</v>
      </c>
      <c r="E85" s="4">
        <f t="shared" si="32"/>
        <v>23.321238425925927</v>
      </c>
      <c r="F85">
        <f t="shared" si="33"/>
        <v>7</v>
      </c>
      <c r="G85">
        <f t="shared" si="34"/>
        <v>42</v>
      </c>
      <c r="H85">
        <f t="shared" si="35"/>
        <v>35</v>
      </c>
    </row>
    <row r="86" spans="1:8" x14ac:dyDescent="0.2">
      <c r="A86" s="3" t="s">
        <v>85</v>
      </c>
      <c r="B86" s="9">
        <v>45158</v>
      </c>
      <c r="C86" s="4">
        <v>0.3602083333333333</v>
      </c>
      <c r="D86" s="4">
        <v>0.42061342592592593</v>
      </c>
      <c r="E86" s="4">
        <f t="shared" si="32"/>
        <v>6.0405092592592635E-2</v>
      </c>
      <c r="F86">
        <f t="shared" si="33"/>
        <v>1</v>
      </c>
      <c r="G86">
        <f t="shared" si="34"/>
        <v>26</v>
      </c>
      <c r="H86">
        <f t="shared" si="35"/>
        <v>59</v>
      </c>
    </row>
    <row r="87" spans="1:8" x14ac:dyDescent="0.2">
      <c r="A87" s="3" t="s">
        <v>86</v>
      </c>
      <c r="B87" s="9">
        <v>45158</v>
      </c>
      <c r="C87" s="4">
        <v>0.43291666666666667</v>
      </c>
      <c r="D87" s="4">
        <v>0.51689814814814816</v>
      </c>
      <c r="E87" s="4">
        <f t="shared" si="32"/>
        <v>8.398148148148149E-2</v>
      </c>
      <c r="F87">
        <f t="shared" si="33"/>
        <v>2</v>
      </c>
      <c r="G87">
        <f t="shared" si="34"/>
        <v>0</v>
      </c>
      <c r="H87">
        <f t="shared" si="35"/>
        <v>56</v>
      </c>
    </row>
    <row r="88" spans="1:8" x14ac:dyDescent="0.2">
      <c r="A88" s="3" t="s">
        <v>87</v>
      </c>
      <c r="B88" s="9">
        <v>45158</v>
      </c>
      <c r="C88" s="4">
        <v>0.54804398148148148</v>
      </c>
      <c r="D88" s="4">
        <v>0.6643634259259259</v>
      </c>
      <c r="E88" s="4">
        <f t="shared" si="32"/>
        <v>0.11631944444444442</v>
      </c>
      <c r="F88">
        <f t="shared" si="33"/>
        <v>2</v>
      </c>
      <c r="G88">
        <f t="shared" si="34"/>
        <v>47</v>
      </c>
      <c r="H88">
        <f t="shared" si="35"/>
        <v>30</v>
      </c>
    </row>
    <row r="89" spans="1:8" x14ac:dyDescent="0.2">
      <c r="A89" s="3" t="s">
        <v>88</v>
      </c>
      <c r="B89" s="9">
        <v>45158</v>
      </c>
      <c r="C89" s="4">
        <v>0.71825231481481477</v>
      </c>
      <c r="D89" s="4">
        <v>0.74163194444444447</v>
      </c>
      <c r="E89" s="4">
        <f>IF(D89&gt;C89,D89-C89,D89-C89+24)</f>
        <v>2.3379629629629695E-2</v>
      </c>
      <c r="F89">
        <f>HOUR(E89)</f>
        <v>0</v>
      </c>
      <c r="G89">
        <f>MINUTE(E89)</f>
        <v>33</v>
      </c>
      <c r="H89">
        <f>SECOND(E89)</f>
        <v>40</v>
      </c>
    </row>
    <row r="90" spans="1:8" x14ac:dyDescent="0.2">
      <c r="A90" s="3" t="s">
        <v>89</v>
      </c>
      <c r="B90" s="9">
        <v>45158</v>
      </c>
      <c r="C90" s="4">
        <v>0.7732175925925926</v>
      </c>
      <c r="D90" s="4">
        <v>0.89648148148148143</v>
      </c>
      <c r="E90" s="4">
        <f t="shared" ref="E90:E98" si="36">IF(D90&gt;C90,D90-C90,D90-C90+24)</f>
        <v>0.12326388888888884</v>
      </c>
      <c r="F90">
        <f t="shared" ref="F90:F98" si="37">HOUR(E90)</f>
        <v>2</v>
      </c>
      <c r="G90">
        <f t="shared" ref="G90:G98" si="38">MINUTE(E90)</f>
        <v>57</v>
      </c>
      <c r="H90">
        <f t="shared" ref="H90:H98" si="39">SECOND(E90)</f>
        <v>30</v>
      </c>
    </row>
    <row r="91" spans="1:8" x14ac:dyDescent="0.2">
      <c r="A91" s="3" t="s">
        <v>90</v>
      </c>
      <c r="B91" s="9">
        <v>45158</v>
      </c>
      <c r="C91" s="4">
        <v>0.90298611111111116</v>
      </c>
      <c r="D91" s="4">
        <v>0.16401620370370371</v>
      </c>
      <c r="E91" s="4">
        <f t="shared" si="36"/>
        <v>23.261030092592591</v>
      </c>
      <c r="F91">
        <f t="shared" si="37"/>
        <v>6</v>
      </c>
      <c r="G91">
        <f t="shared" si="38"/>
        <v>15</v>
      </c>
      <c r="H91">
        <f t="shared" si="39"/>
        <v>53</v>
      </c>
    </row>
    <row r="92" spans="1:8" x14ac:dyDescent="0.2">
      <c r="A92" s="3" t="s">
        <v>91</v>
      </c>
      <c r="B92" s="9">
        <v>45159</v>
      </c>
      <c r="C92" s="4">
        <v>0.26887731481481481</v>
      </c>
      <c r="D92" s="4">
        <v>0.44498842592592597</v>
      </c>
      <c r="E92" s="4">
        <f t="shared" si="36"/>
        <v>0.17611111111111116</v>
      </c>
      <c r="F92">
        <f t="shared" si="37"/>
        <v>4</v>
      </c>
      <c r="G92">
        <f t="shared" si="38"/>
        <v>13</v>
      </c>
      <c r="H92">
        <f t="shared" si="39"/>
        <v>36</v>
      </c>
    </row>
    <row r="93" spans="1:8" x14ac:dyDescent="0.2">
      <c r="A93" s="3" t="s">
        <v>92</v>
      </c>
      <c r="B93" s="9">
        <v>45159</v>
      </c>
      <c r="C93" s="4">
        <v>0.45202546296296298</v>
      </c>
      <c r="D93" s="4">
        <v>0.63377314814814811</v>
      </c>
      <c r="E93" s="4">
        <f t="shared" si="36"/>
        <v>0.18174768518518514</v>
      </c>
      <c r="F93">
        <f t="shared" si="37"/>
        <v>4</v>
      </c>
      <c r="G93">
        <f t="shared" si="38"/>
        <v>21</v>
      </c>
      <c r="H93">
        <f t="shared" si="39"/>
        <v>43</v>
      </c>
    </row>
    <row r="94" spans="1:8" x14ac:dyDescent="0.2">
      <c r="A94" s="3" t="s">
        <v>93</v>
      </c>
      <c r="B94" s="9">
        <v>45159</v>
      </c>
      <c r="C94" s="4">
        <v>0.64629629629629626</v>
      </c>
      <c r="D94" s="4">
        <v>0.80611111111111111</v>
      </c>
      <c r="E94" s="4">
        <f t="shared" si="36"/>
        <v>0.15981481481481485</v>
      </c>
      <c r="F94">
        <f t="shared" si="37"/>
        <v>3</v>
      </c>
      <c r="G94">
        <f t="shared" si="38"/>
        <v>50</v>
      </c>
      <c r="H94">
        <f t="shared" si="39"/>
        <v>8</v>
      </c>
    </row>
    <row r="95" spans="1:8" x14ac:dyDescent="0.2">
      <c r="A95" s="3" t="s">
        <v>94</v>
      </c>
      <c r="B95" s="9">
        <v>45159</v>
      </c>
      <c r="C95" s="4">
        <v>0.87209490740740747</v>
      </c>
      <c r="D95" s="4">
        <v>0.54572916666666671</v>
      </c>
      <c r="E95" s="4">
        <f t="shared" si="36"/>
        <v>23.673634259259259</v>
      </c>
      <c r="F95">
        <f t="shared" si="37"/>
        <v>16</v>
      </c>
      <c r="G95">
        <f t="shared" si="38"/>
        <v>10</v>
      </c>
      <c r="H95">
        <f t="shared" si="39"/>
        <v>2</v>
      </c>
    </row>
    <row r="96" spans="1:8" x14ac:dyDescent="0.2">
      <c r="A96" s="3" t="s">
        <v>95</v>
      </c>
      <c r="B96" s="9">
        <v>45160</v>
      </c>
      <c r="C96" s="4">
        <v>0.56878472222222221</v>
      </c>
      <c r="D96" s="4">
        <v>0.71622685185185186</v>
      </c>
      <c r="E96" s="4">
        <f t="shared" si="36"/>
        <v>0.14744212962962966</v>
      </c>
      <c r="F96">
        <f t="shared" si="37"/>
        <v>3</v>
      </c>
      <c r="G96">
        <f t="shared" si="38"/>
        <v>32</v>
      </c>
      <c r="H96">
        <f t="shared" si="39"/>
        <v>19</v>
      </c>
    </row>
    <row r="97" spans="1:8" x14ac:dyDescent="0.2">
      <c r="A97" s="3" t="s">
        <v>96</v>
      </c>
      <c r="B97" s="9">
        <v>45160</v>
      </c>
      <c r="C97" s="4">
        <v>0.76710648148148142</v>
      </c>
      <c r="D97" s="4">
        <v>0.25621527777777781</v>
      </c>
      <c r="E97" s="4">
        <f t="shared" si="36"/>
        <v>23.489108796296296</v>
      </c>
      <c r="F97">
        <f t="shared" si="37"/>
        <v>11</v>
      </c>
      <c r="G97">
        <f t="shared" si="38"/>
        <v>44</v>
      </c>
      <c r="H97">
        <f t="shared" si="39"/>
        <v>19</v>
      </c>
    </row>
    <row r="98" spans="1:8" x14ac:dyDescent="0.2">
      <c r="A98" s="3" t="s">
        <v>97</v>
      </c>
      <c r="B98" s="9">
        <v>45161</v>
      </c>
      <c r="C98" s="4">
        <v>0.61291666666666667</v>
      </c>
      <c r="D98" s="4">
        <v>0.87868055555555558</v>
      </c>
      <c r="E98" s="4">
        <f t="shared" si="36"/>
        <v>0.26576388888888891</v>
      </c>
      <c r="F98">
        <f t="shared" si="37"/>
        <v>6</v>
      </c>
      <c r="G98">
        <f t="shared" si="38"/>
        <v>22</v>
      </c>
      <c r="H98">
        <f t="shared" si="39"/>
        <v>42</v>
      </c>
    </row>
    <row r="99" spans="1:8" x14ac:dyDescent="0.2">
      <c r="A99" s="3" t="s">
        <v>98</v>
      </c>
      <c r="B99" s="9">
        <v>45161</v>
      </c>
      <c r="C99" s="4">
        <v>0.90055555555555555</v>
      </c>
      <c r="D99" s="4">
        <v>0.5060069444444445</v>
      </c>
      <c r="E99" s="4">
        <f t="shared" ref="E99:E102" si="40">IF(D99&gt;C99,D99-C99,D99-C99+24)</f>
        <v>23.605451388888888</v>
      </c>
      <c r="F99">
        <f t="shared" ref="F99:F102" si="41">HOUR(E99)</f>
        <v>14</v>
      </c>
      <c r="G99">
        <f t="shared" ref="G99:G102" si="42">MINUTE(E99)</f>
        <v>31</v>
      </c>
      <c r="H99">
        <f t="shared" ref="H99:H102" si="43">SECOND(E99)</f>
        <v>51</v>
      </c>
    </row>
    <row r="100" spans="1:8" x14ac:dyDescent="0.2">
      <c r="A100" s="3" t="s">
        <v>99</v>
      </c>
      <c r="B100" s="9">
        <v>45162</v>
      </c>
      <c r="C100" s="4">
        <v>0.50552083333333331</v>
      </c>
      <c r="D100" s="4">
        <v>0.69783564814814814</v>
      </c>
      <c r="E100" s="4">
        <f t="shared" si="40"/>
        <v>0.19231481481481483</v>
      </c>
      <c r="F100">
        <f t="shared" si="41"/>
        <v>4</v>
      </c>
      <c r="G100">
        <f t="shared" si="42"/>
        <v>36</v>
      </c>
      <c r="H100">
        <f t="shared" si="43"/>
        <v>56</v>
      </c>
    </row>
    <row r="101" spans="1:8" x14ac:dyDescent="0.2">
      <c r="A101" s="3" t="s">
        <v>100</v>
      </c>
      <c r="B101" s="9">
        <v>45162</v>
      </c>
      <c r="C101" s="4">
        <v>0.70057870370370379</v>
      </c>
      <c r="D101" s="4">
        <v>0.87907407407407412</v>
      </c>
      <c r="E101" s="4">
        <f t="shared" si="40"/>
        <v>0.17849537037037033</v>
      </c>
      <c r="F101">
        <f t="shared" si="41"/>
        <v>4</v>
      </c>
      <c r="G101">
        <f t="shared" si="42"/>
        <v>17</v>
      </c>
      <c r="H101">
        <f t="shared" si="43"/>
        <v>2</v>
      </c>
    </row>
    <row r="102" spans="1:8" x14ac:dyDescent="0.2">
      <c r="A102" s="3" t="s">
        <v>101</v>
      </c>
      <c r="B102" s="9">
        <v>45162</v>
      </c>
      <c r="C102" s="4">
        <v>0.88920138888888889</v>
      </c>
      <c r="D102" s="4">
        <v>0.14791666666666667</v>
      </c>
      <c r="E102" s="4">
        <f t="shared" si="40"/>
        <v>23.258715277777778</v>
      </c>
      <c r="F102">
        <f t="shared" si="41"/>
        <v>6</v>
      </c>
      <c r="G102">
        <f t="shared" si="42"/>
        <v>12</v>
      </c>
      <c r="H102">
        <f t="shared" si="43"/>
        <v>33</v>
      </c>
    </row>
    <row r="103" spans="1:8" x14ac:dyDescent="0.2">
      <c r="A103" s="3" t="s">
        <v>102</v>
      </c>
      <c r="B103" s="9">
        <v>45163</v>
      </c>
      <c r="C103" s="4">
        <v>0.95567129629629621</v>
      </c>
      <c r="D103" s="4">
        <v>0.29334490740740743</v>
      </c>
      <c r="E103" s="4">
        <f>IF(D103&gt;C103,D103-C103,D103-C103+24)</f>
        <v>23.337673611111111</v>
      </c>
      <c r="F103">
        <f t="shared" ref="F103" si="44">HOUR(E103)</f>
        <v>8</v>
      </c>
      <c r="G103">
        <f t="shared" ref="G103" si="45">MINUTE(E103)</f>
        <v>6</v>
      </c>
      <c r="H103">
        <f t="shared" ref="H103" si="46">SECOND(E103)</f>
        <v>15</v>
      </c>
    </row>
    <row r="104" spans="1:8" x14ac:dyDescent="0.2">
      <c r="A104" s="3" t="s">
        <v>103</v>
      </c>
      <c r="B104" s="9">
        <v>45164</v>
      </c>
      <c r="C104" s="4">
        <v>0.31891203703703702</v>
      </c>
      <c r="D104" s="4">
        <v>0.3692361111111111</v>
      </c>
      <c r="E104" s="4">
        <f t="shared" ref="E104:E106" si="47">IF(D104&gt;C104,D104-C104,D104-C104+24)</f>
        <v>5.0324074074074077E-2</v>
      </c>
      <c r="F104">
        <f t="shared" ref="F104:F106" si="48">HOUR(E104)</f>
        <v>1</v>
      </c>
      <c r="G104">
        <f t="shared" ref="G104:G106" si="49">MINUTE(E104)</f>
        <v>12</v>
      </c>
      <c r="H104">
        <f t="shared" ref="H104:H106" si="50">SECOND(E104)</f>
        <v>28</v>
      </c>
    </row>
    <row r="105" spans="1:8" x14ac:dyDescent="0.2">
      <c r="A105" s="3" t="s">
        <v>104</v>
      </c>
      <c r="B105" s="9">
        <v>45164</v>
      </c>
      <c r="C105" s="4">
        <v>0.37797453703703704</v>
      </c>
      <c r="D105" s="4">
        <v>0.43261574074074072</v>
      </c>
      <c r="E105" s="4">
        <f t="shared" si="47"/>
        <v>5.4641203703703678E-2</v>
      </c>
      <c r="F105">
        <f t="shared" si="48"/>
        <v>1</v>
      </c>
      <c r="G105">
        <f t="shared" si="49"/>
        <v>18</v>
      </c>
      <c r="H105">
        <f t="shared" si="50"/>
        <v>41</v>
      </c>
    </row>
    <row r="106" spans="1:8" x14ac:dyDescent="0.2">
      <c r="A106" s="3" t="s">
        <v>105</v>
      </c>
      <c r="B106" s="9">
        <v>45164</v>
      </c>
      <c r="C106" s="4">
        <v>0.4355324074074074</v>
      </c>
      <c r="D106" s="4">
        <v>0.17318287037037036</v>
      </c>
      <c r="E106" s="4">
        <f t="shared" si="47"/>
        <v>23.737650462962964</v>
      </c>
      <c r="F106">
        <f t="shared" si="48"/>
        <v>17</v>
      </c>
      <c r="G106">
        <f t="shared" si="49"/>
        <v>42</v>
      </c>
      <c r="H106">
        <f t="shared" si="50"/>
        <v>13</v>
      </c>
    </row>
    <row r="107" spans="1:8" x14ac:dyDescent="0.2">
      <c r="A107" s="3" t="s">
        <v>106</v>
      </c>
      <c r="B107" s="9">
        <v>45165</v>
      </c>
      <c r="C107" s="4">
        <v>0.23244212962962962</v>
      </c>
      <c r="D107" s="4">
        <v>0.71876157407407415</v>
      </c>
      <c r="E107" s="4">
        <f>IF(D107&gt;C107,D107-C107,D107-C107+24)</f>
        <v>0.48631944444444453</v>
      </c>
      <c r="F107">
        <f t="shared" ref="F107" si="51">HOUR(E107)</f>
        <v>11</v>
      </c>
      <c r="G107">
        <f t="shared" ref="G107" si="52">MINUTE(E107)</f>
        <v>40</v>
      </c>
      <c r="H107">
        <f t="shared" ref="H107" si="53">SECOND(E107)</f>
        <v>18</v>
      </c>
    </row>
    <row r="108" spans="1:8" x14ac:dyDescent="0.2">
      <c r="A108" s="3" t="s">
        <v>107</v>
      </c>
      <c r="B108" s="9">
        <v>45165</v>
      </c>
      <c r="C108" s="4">
        <v>0.95078703703703704</v>
      </c>
      <c r="D108" s="4">
        <v>0.15162037037037038</v>
      </c>
      <c r="E108" s="4">
        <f t="shared" ref="E108:E124" si="54">IF(D108&gt;C108,D108-C108,D108-C108+24)</f>
        <v>23.200833333333332</v>
      </c>
      <c r="F108">
        <f t="shared" ref="F108:F116" si="55">HOUR(E108)</f>
        <v>4</v>
      </c>
      <c r="G108">
        <f t="shared" ref="G108:G116" si="56">MINUTE(E108)</f>
        <v>49</v>
      </c>
      <c r="H108">
        <f t="shared" ref="H108:H116" si="57">SECOND(E108)</f>
        <v>12</v>
      </c>
    </row>
    <row r="109" spans="1:8" x14ac:dyDescent="0.2">
      <c r="A109" s="3" t="s">
        <v>108</v>
      </c>
      <c r="B109" s="9">
        <v>45166</v>
      </c>
      <c r="C109" s="4">
        <v>0.15243055555555554</v>
      </c>
      <c r="D109" s="4">
        <v>0.46209490740740744</v>
      </c>
      <c r="E109" s="4">
        <f t="shared" si="54"/>
        <v>0.30966435185185193</v>
      </c>
      <c r="F109">
        <f t="shared" si="55"/>
        <v>7</v>
      </c>
      <c r="G109">
        <f t="shared" si="56"/>
        <v>25</v>
      </c>
      <c r="H109">
        <f t="shared" si="57"/>
        <v>55</v>
      </c>
    </row>
    <row r="110" spans="1:8" x14ac:dyDescent="0.2">
      <c r="A110" s="3" t="s">
        <v>109</v>
      </c>
      <c r="B110" s="9">
        <v>45166</v>
      </c>
      <c r="C110" s="4">
        <v>0.53042824074074069</v>
      </c>
      <c r="D110" s="4">
        <v>0.74619212962962955</v>
      </c>
      <c r="E110" s="4">
        <f t="shared" si="54"/>
        <v>0.21576388888888887</v>
      </c>
      <c r="F110">
        <f t="shared" si="55"/>
        <v>5</v>
      </c>
      <c r="G110">
        <f t="shared" si="56"/>
        <v>10</v>
      </c>
      <c r="H110">
        <f t="shared" si="57"/>
        <v>42</v>
      </c>
    </row>
    <row r="111" spans="1:8" x14ac:dyDescent="0.2">
      <c r="A111" s="3" t="s">
        <v>110</v>
      </c>
      <c r="B111" s="9">
        <v>45166</v>
      </c>
      <c r="C111" s="4">
        <v>0.82980324074074074</v>
      </c>
      <c r="D111" s="4">
        <v>0.15593749999999998</v>
      </c>
      <c r="E111" s="4">
        <f t="shared" si="54"/>
        <v>23.326134259259259</v>
      </c>
      <c r="F111">
        <f t="shared" si="55"/>
        <v>7</v>
      </c>
      <c r="G111">
        <f t="shared" si="56"/>
        <v>49</v>
      </c>
      <c r="H111">
        <f t="shared" si="57"/>
        <v>38</v>
      </c>
    </row>
    <row r="112" spans="1:8" x14ac:dyDescent="0.2">
      <c r="A112" s="3" t="s">
        <v>111</v>
      </c>
      <c r="B112" s="9">
        <v>45167</v>
      </c>
      <c r="C112" s="4">
        <v>0.3034722222222222</v>
      </c>
      <c r="D112" s="4">
        <v>0.20912037037037037</v>
      </c>
      <c r="E112" s="4">
        <f t="shared" si="54"/>
        <v>23.905648148148149</v>
      </c>
      <c r="F112">
        <f t="shared" si="55"/>
        <v>21</v>
      </c>
      <c r="G112">
        <f t="shared" si="56"/>
        <v>44</v>
      </c>
      <c r="H112">
        <f t="shared" si="57"/>
        <v>8</v>
      </c>
    </row>
    <row r="113" spans="1:8" x14ac:dyDescent="0.2">
      <c r="A113" s="3" t="s">
        <v>112</v>
      </c>
      <c r="B113" s="9">
        <v>45168</v>
      </c>
      <c r="C113" s="4">
        <v>0.63410879629629624</v>
      </c>
      <c r="D113" s="4">
        <v>0.88608796296296299</v>
      </c>
      <c r="E113" s="4">
        <f t="shared" si="54"/>
        <v>0.25197916666666675</v>
      </c>
      <c r="F113">
        <f t="shared" si="55"/>
        <v>6</v>
      </c>
      <c r="G113">
        <f t="shared" si="56"/>
        <v>2</v>
      </c>
      <c r="H113">
        <f t="shared" si="57"/>
        <v>51</v>
      </c>
    </row>
    <row r="114" spans="1:8" x14ac:dyDescent="0.2">
      <c r="A114" s="3" t="s">
        <v>113</v>
      </c>
      <c r="B114" s="9">
        <v>45168</v>
      </c>
      <c r="C114" s="4">
        <v>0.88699074074074069</v>
      </c>
      <c r="D114" s="4">
        <v>0.17133101851851851</v>
      </c>
      <c r="E114" s="4">
        <f t="shared" si="54"/>
        <v>23.284340277777776</v>
      </c>
      <c r="F114">
        <f t="shared" si="55"/>
        <v>6</v>
      </c>
      <c r="G114">
        <f t="shared" si="56"/>
        <v>49</v>
      </c>
      <c r="H114">
        <f t="shared" si="57"/>
        <v>27</v>
      </c>
    </row>
    <row r="115" spans="1:8" x14ac:dyDescent="0.2">
      <c r="A115" s="3" t="s">
        <v>114</v>
      </c>
      <c r="B115" s="9">
        <v>45169</v>
      </c>
      <c r="C115" s="4">
        <v>0.83929398148148149</v>
      </c>
      <c r="D115" s="4">
        <v>0.89145833333333335</v>
      </c>
      <c r="E115" s="4">
        <f t="shared" si="54"/>
        <v>5.2164351851851865E-2</v>
      </c>
      <c r="F115">
        <f t="shared" si="55"/>
        <v>1</v>
      </c>
      <c r="G115">
        <f t="shared" si="56"/>
        <v>15</v>
      </c>
      <c r="H115">
        <f t="shared" si="57"/>
        <v>7</v>
      </c>
    </row>
    <row r="116" spans="1:8" x14ac:dyDescent="0.2">
      <c r="A116" s="3" t="s">
        <v>115</v>
      </c>
      <c r="B116" s="9">
        <v>45169</v>
      </c>
      <c r="C116" s="4">
        <v>0.89793981481481477</v>
      </c>
      <c r="D116" s="4">
        <v>0.91732638888888884</v>
      </c>
      <c r="E116" s="4">
        <f t="shared" si="54"/>
        <v>1.938657407407407E-2</v>
      </c>
      <c r="F116">
        <f t="shared" si="55"/>
        <v>0</v>
      </c>
      <c r="G116">
        <f t="shared" si="56"/>
        <v>27</v>
      </c>
      <c r="H116">
        <f t="shared" si="57"/>
        <v>55</v>
      </c>
    </row>
    <row r="117" spans="1:8" x14ac:dyDescent="0.2">
      <c r="A117" s="3" t="s">
        <v>116</v>
      </c>
      <c r="B117" s="9">
        <v>45169</v>
      </c>
      <c r="C117" s="4">
        <v>0.92283564814814811</v>
      </c>
      <c r="D117" s="4">
        <v>0.20745370370370372</v>
      </c>
      <c r="E117" s="4">
        <f t="shared" si="54"/>
        <v>23.284618055555555</v>
      </c>
      <c r="F117">
        <f t="shared" ref="F117:F118" si="58">HOUR(E117)</f>
        <v>6</v>
      </c>
      <c r="G117">
        <f t="shared" ref="G117:G118" si="59">MINUTE(E117)</f>
        <v>49</v>
      </c>
      <c r="H117">
        <f t="shared" ref="H117:H118" si="60">SECOND(E117)</f>
        <v>51</v>
      </c>
    </row>
    <row r="118" spans="1:8" x14ac:dyDescent="0.2">
      <c r="A118" s="3" t="s">
        <v>117</v>
      </c>
      <c r="B118" s="9">
        <v>45170</v>
      </c>
      <c r="C118" s="4">
        <v>0.26245370370370369</v>
      </c>
      <c r="D118" s="4">
        <v>0.30001157407407408</v>
      </c>
      <c r="E118" s="4">
        <f t="shared" si="54"/>
        <v>3.7557870370370394E-2</v>
      </c>
      <c r="F118">
        <f t="shared" si="58"/>
        <v>0</v>
      </c>
      <c r="G118">
        <f t="shared" si="59"/>
        <v>54</v>
      </c>
      <c r="H118">
        <f t="shared" si="60"/>
        <v>5</v>
      </c>
    </row>
    <row r="119" spans="1:8" x14ac:dyDescent="0.2">
      <c r="A119" s="3" t="s">
        <v>118</v>
      </c>
      <c r="B119" s="9">
        <v>45170</v>
      </c>
      <c r="C119" s="4">
        <v>0.55331018518518515</v>
      </c>
      <c r="D119" s="4">
        <v>0.20770833333333336</v>
      </c>
      <c r="E119" s="4">
        <f t="shared" si="54"/>
        <v>23.654398148148147</v>
      </c>
      <c r="F119">
        <f t="shared" ref="F119:F121" si="61">HOUR(E119)</f>
        <v>15</v>
      </c>
      <c r="G119">
        <f t="shared" ref="G119:G121" si="62">MINUTE(E119)</f>
        <v>42</v>
      </c>
      <c r="H119">
        <f t="shared" ref="H119:H121" si="63">SECOND(E119)</f>
        <v>20</v>
      </c>
    </row>
    <row r="120" spans="1:8" x14ac:dyDescent="0.2">
      <c r="A120" s="3" t="s">
        <v>119</v>
      </c>
      <c r="B120" s="9">
        <v>45180</v>
      </c>
      <c r="C120" s="4">
        <v>0.61771990740740745</v>
      </c>
      <c r="D120" s="4">
        <v>0.66929398148148145</v>
      </c>
      <c r="E120" s="4">
        <f t="shared" si="54"/>
        <v>5.1574074074073994E-2</v>
      </c>
      <c r="F120">
        <f t="shared" si="61"/>
        <v>1</v>
      </c>
      <c r="G120">
        <f t="shared" si="62"/>
        <v>14</v>
      </c>
      <c r="H120">
        <f t="shared" si="63"/>
        <v>16</v>
      </c>
    </row>
    <row r="121" spans="1:8" x14ac:dyDescent="0.2">
      <c r="A121" s="3" t="s">
        <v>120</v>
      </c>
      <c r="B121" s="9">
        <v>45165</v>
      </c>
      <c r="C121" s="4">
        <v>0.76728009259259267</v>
      </c>
      <c r="D121" s="4">
        <v>0.78311342592592592</v>
      </c>
      <c r="E121" s="4">
        <f t="shared" si="54"/>
        <v>1.5833333333333255E-2</v>
      </c>
      <c r="F121">
        <f t="shared" si="61"/>
        <v>0</v>
      </c>
      <c r="G121">
        <f t="shared" si="62"/>
        <v>22</v>
      </c>
      <c r="H121">
        <f t="shared" si="63"/>
        <v>48</v>
      </c>
    </row>
    <row r="122" spans="1:8" x14ac:dyDescent="0.2">
      <c r="A122" s="3" t="s">
        <v>121</v>
      </c>
      <c r="B122" s="9">
        <v>45165</v>
      </c>
      <c r="C122" s="4">
        <v>0.78659722222222228</v>
      </c>
      <c r="D122" s="4">
        <v>0.93974537037037031</v>
      </c>
      <c r="E122" s="4">
        <f t="shared" si="54"/>
        <v>0.15314814814814803</v>
      </c>
      <c r="F122">
        <f t="shared" ref="F122:F124" si="64">HOUR(E122)</f>
        <v>3</v>
      </c>
      <c r="G122">
        <f t="shared" ref="G122:G124" si="65">MINUTE(E122)</f>
        <v>40</v>
      </c>
      <c r="H122">
        <f t="shared" ref="H122:H124" si="66">SECOND(E122)</f>
        <v>32</v>
      </c>
    </row>
    <row r="123" spans="1:8" x14ac:dyDescent="0.2">
      <c r="A123" s="3" t="s">
        <v>122</v>
      </c>
      <c r="B123" s="9">
        <v>45168</v>
      </c>
      <c r="C123" s="4">
        <v>0.31027777777777776</v>
      </c>
      <c r="D123" s="4">
        <v>0.6333333333333333</v>
      </c>
      <c r="E123" s="4">
        <f t="shared" si="54"/>
        <v>0.32305555555555554</v>
      </c>
      <c r="F123">
        <f t="shared" si="64"/>
        <v>7</v>
      </c>
      <c r="G123">
        <f t="shared" si="65"/>
        <v>45</v>
      </c>
      <c r="H123">
        <f t="shared" si="66"/>
        <v>12</v>
      </c>
    </row>
    <row r="124" spans="1:8" x14ac:dyDescent="0.2">
      <c r="A124" s="3" t="s">
        <v>123</v>
      </c>
      <c r="B124" s="9">
        <v>45169</v>
      </c>
      <c r="C124" s="4">
        <v>0.2971064814814815</v>
      </c>
      <c r="D124" s="4">
        <v>0.65327546296296302</v>
      </c>
      <c r="E124" s="4">
        <f t="shared" si="54"/>
        <v>0.35616898148148152</v>
      </c>
      <c r="F124">
        <f t="shared" si="64"/>
        <v>8</v>
      </c>
      <c r="G124">
        <f t="shared" si="65"/>
        <v>32</v>
      </c>
      <c r="H124">
        <f t="shared" si="66"/>
        <v>53</v>
      </c>
    </row>
    <row r="125" spans="1:8" x14ac:dyDescent="0.2">
      <c r="B125" s="2"/>
      <c r="C125" s="1"/>
      <c r="D125" s="1"/>
      <c r="E125" s="1"/>
    </row>
    <row r="126" spans="1:8" x14ac:dyDescent="0.2">
      <c r="A126" s="5" t="s">
        <v>0</v>
      </c>
      <c r="B126" s="6"/>
      <c r="C126" s="6"/>
      <c r="D126" s="7"/>
      <c r="E126" s="3">
        <f>F127</f>
        <v>574</v>
      </c>
      <c r="F126">
        <f>SUM(F2:F124)</f>
        <v>512</v>
      </c>
      <c r="G126">
        <f>SUM(G2:G124)</f>
        <v>3653</v>
      </c>
      <c r="H126">
        <f>SUM(H2:H124)</f>
        <v>3777</v>
      </c>
    </row>
    <row r="127" spans="1:8" x14ac:dyDescent="0.2">
      <c r="F127">
        <f>ROUND(F126+G127+H127,0)</f>
        <v>574</v>
      </c>
      <c r="G127">
        <f>G126/60</f>
        <v>60.883333333333333</v>
      </c>
      <c r="H127">
        <f>H126/3600</f>
        <v>1.0491666666666666</v>
      </c>
    </row>
  </sheetData>
  <mergeCells count="1">
    <mergeCell ref="A126:D12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3152-1768-4E8E-B9C1-4C6C4F7D0098}">
  <dimension ref="D3:H34"/>
  <sheetViews>
    <sheetView workbookViewId="0">
      <selection activeCell="E2" sqref="E2"/>
    </sheetView>
  </sheetViews>
  <sheetFormatPr defaultRowHeight="14.25" x14ac:dyDescent="0.2"/>
  <cols>
    <col min="4" max="4" width="10" bestFit="1" customWidth="1"/>
    <col min="8" max="8" width="10.625" bestFit="1" customWidth="1"/>
  </cols>
  <sheetData>
    <row r="3" spans="4:8" x14ac:dyDescent="0.2">
      <c r="D3" s="2">
        <v>45140</v>
      </c>
      <c r="E3">
        <f>SUMIF(Sheet1!$B:$B,$D3,Sheet1!F:F)</f>
        <v>4</v>
      </c>
      <c r="F3">
        <f>SUMIF(Sheet1!$B:$B,$D3,Sheet1!G:G)</f>
        <v>186</v>
      </c>
      <c r="G3">
        <f>SUMIF(Sheet1!$B:$B,$D3,Sheet1!H:H)</f>
        <v>163</v>
      </c>
      <c r="H3">
        <f t="shared" ref="H3:H34" si="0">ROUND((G3/60+F3)/60+E3,2)</f>
        <v>7.15</v>
      </c>
    </row>
    <row r="4" spans="4:8" x14ac:dyDescent="0.2">
      <c r="D4" s="2">
        <v>45141</v>
      </c>
      <c r="E4">
        <f>SUMIF(Sheet1!$B:$B,$D4,Sheet1!F:F)</f>
        <v>14</v>
      </c>
      <c r="F4">
        <f>SUMIF(Sheet1!$B:$B,$D4,Sheet1!G:G)</f>
        <v>104</v>
      </c>
      <c r="G4">
        <f>SUMIF(Sheet1!$B:$B,$D4,Sheet1!H:H)</f>
        <v>96</v>
      </c>
      <c r="H4">
        <f t="shared" si="0"/>
        <v>15.76</v>
      </c>
    </row>
    <row r="5" spans="4:8" x14ac:dyDescent="0.2">
      <c r="D5" s="2">
        <v>45142</v>
      </c>
      <c r="E5">
        <f>SUMIF(Sheet1!$B:$B,$D5,Sheet1!F:F)</f>
        <v>17</v>
      </c>
      <c r="F5">
        <f>SUMIF(Sheet1!$B:$B,$D5,Sheet1!G:G)</f>
        <v>120</v>
      </c>
      <c r="G5">
        <f>SUMIF(Sheet1!$B:$B,$D5,Sheet1!H:H)</f>
        <v>163</v>
      </c>
      <c r="H5">
        <f t="shared" si="0"/>
        <v>19.05</v>
      </c>
    </row>
    <row r="6" spans="4:8" x14ac:dyDescent="0.2">
      <c r="D6" s="2">
        <v>45143</v>
      </c>
      <c r="E6">
        <f>SUMIF(Sheet1!$B:$B,$D6,Sheet1!F:F)</f>
        <v>15</v>
      </c>
      <c r="F6">
        <f>SUMIF(Sheet1!$B:$B,$D6,Sheet1!G:G)</f>
        <v>43</v>
      </c>
      <c r="G6">
        <f>SUMIF(Sheet1!$B:$B,$D6,Sheet1!H:H)</f>
        <v>54</v>
      </c>
      <c r="H6">
        <f t="shared" si="0"/>
        <v>15.73</v>
      </c>
    </row>
    <row r="7" spans="4:8" x14ac:dyDescent="0.2">
      <c r="D7" s="2">
        <v>45144</v>
      </c>
      <c r="E7">
        <f>SUMIF(Sheet1!$B:$B,$D7,Sheet1!F:F)</f>
        <v>12</v>
      </c>
      <c r="F7">
        <f>SUMIF(Sheet1!$B:$B,$D7,Sheet1!G:G)</f>
        <v>171</v>
      </c>
      <c r="G7">
        <f>SUMIF(Sheet1!$B:$B,$D7,Sheet1!H:H)</f>
        <v>172</v>
      </c>
      <c r="H7">
        <f t="shared" si="0"/>
        <v>14.9</v>
      </c>
    </row>
    <row r="8" spans="4:8" x14ac:dyDescent="0.2">
      <c r="D8" s="2">
        <v>45145</v>
      </c>
      <c r="E8">
        <f>SUMIF(Sheet1!$B:$B,$D8,Sheet1!F:F)</f>
        <v>14</v>
      </c>
      <c r="F8">
        <f>SUMIF(Sheet1!$B:$B,$D8,Sheet1!G:G)</f>
        <v>90</v>
      </c>
      <c r="G8">
        <f>SUMIF(Sheet1!$B:$B,$D8,Sheet1!H:H)</f>
        <v>15</v>
      </c>
      <c r="H8">
        <f t="shared" si="0"/>
        <v>15.5</v>
      </c>
    </row>
    <row r="9" spans="4:8" x14ac:dyDescent="0.2">
      <c r="D9" s="2">
        <v>45146</v>
      </c>
      <c r="E9">
        <f>SUMIF(Sheet1!$B:$B,$D9,Sheet1!F:F)</f>
        <v>21</v>
      </c>
      <c r="F9">
        <f>SUMIF(Sheet1!$B:$B,$D9,Sheet1!G:G)</f>
        <v>156</v>
      </c>
      <c r="G9">
        <f>SUMIF(Sheet1!$B:$B,$D9,Sheet1!H:H)</f>
        <v>121</v>
      </c>
      <c r="H9">
        <f t="shared" si="0"/>
        <v>23.63</v>
      </c>
    </row>
    <row r="10" spans="4:8" x14ac:dyDescent="0.2">
      <c r="D10" s="2">
        <v>45147</v>
      </c>
      <c r="E10">
        <f>SUMIF(Sheet1!$B:$B,$D10,Sheet1!F:F)</f>
        <v>20</v>
      </c>
      <c r="F10">
        <f>SUMIF(Sheet1!$B:$B,$D10,Sheet1!G:G)</f>
        <v>61</v>
      </c>
      <c r="G10">
        <f>SUMIF(Sheet1!$B:$B,$D10,Sheet1!H:H)</f>
        <v>62</v>
      </c>
      <c r="H10">
        <f t="shared" si="0"/>
        <v>21.03</v>
      </c>
    </row>
    <row r="11" spans="4:8" x14ac:dyDescent="0.2">
      <c r="D11" s="2">
        <v>45148</v>
      </c>
      <c r="E11">
        <f>SUMIF(Sheet1!$B:$B,$D11,Sheet1!F:F)</f>
        <v>13</v>
      </c>
      <c r="F11">
        <f>SUMIF(Sheet1!$B:$B,$D11,Sheet1!G:G)</f>
        <v>108</v>
      </c>
      <c r="G11">
        <f>SUMIF(Sheet1!$B:$B,$D11,Sheet1!H:H)</f>
        <v>107</v>
      </c>
      <c r="H11">
        <f t="shared" si="0"/>
        <v>14.83</v>
      </c>
    </row>
    <row r="12" spans="4:8" x14ac:dyDescent="0.2">
      <c r="D12" s="2">
        <v>45149</v>
      </c>
      <c r="E12">
        <f>SUMIF(Sheet1!$B:$B,$D12,Sheet1!F:F)</f>
        <v>22</v>
      </c>
      <c r="F12">
        <f>SUMIF(Sheet1!$B:$B,$D12,Sheet1!G:G)</f>
        <v>190</v>
      </c>
      <c r="G12">
        <f>SUMIF(Sheet1!$B:$B,$D12,Sheet1!H:H)</f>
        <v>231</v>
      </c>
      <c r="H12">
        <f t="shared" si="0"/>
        <v>25.23</v>
      </c>
    </row>
    <row r="13" spans="4:8" x14ac:dyDescent="0.2">
      <c r="D13" s="2">
        <v>45150</v>
      </c>
      <c r="E13">
        <f>SUMIF(Sheet1!$B:$B,$D13,Sheet1!F:F)</f>
        <v>16</v>
      </c>
      <c r="F13">
        <f>SUMIF(Sheet1!$B:$B,$D13,Sheet1!G:G)</f>
        <v>135</v>
      </c>
      <c r="G13">
        <f>SUMIF(Sheet1!$B:$B,$D13,Sheet1!H:H)</f>
        <v>80</v>
      </c>
      <c r="H13">
        <f t="shared" si="0"/>
        <v>18.27</v>
      </c>
    </row>
    <row r="14" spans="4:8" x14ac:dyDescent="0.2">
      <c r="D14" s="2">
        <v>45151</v>
      </c>
      <c r="E14">
        <f>SUMIF(Sheet1!$B:$B,$D14,Sheet1!F:F)</f>
        <v>14</v>
      </c>
      <c r="F14">
        <f>SUMIF(Sheet1!$B:$B,$D14,Sheet1!G:G)</f>
        <v>214</v>
      </c>
      <c r="G14">
        <f>SUMIF(Sheet1!$B:$B,$D14,Sheet1!H:H)</f>
        <v>204</v>
      </c>
      <c r="H14">
        <f t="shared" si="0"/>
        <v>17.62</v>
      </c>
    </row>
    <row r="15" spans="4:8" x14ac:dyDescent="0.2">
      <c r="D15" s="2">
        <v>45152</v>
      </c>
      <c r="E15">
        <f>SUMIF(Sheet1!$B:$B,$D15,Sheet1!F:F)</f>
        <v>13</v>
      </c>
      <c r="F15">
        <f>SUMIF(Sheet1!$B:$B,$D15,Sheet1!G:G)</f>
        <v>138</v>
      </c>
      <c r="G15">
        <f>SUMIF(Sheet1!$B:$B,$D15,Sheet1!H:H)</f>
        <v>229</v>
      </c>
      <c r="H15">
        <f t="shared" si="0"/>
        <v>15.36</v>
      </c>
    </row>
    <row r="16" spans="4:8" x14ac:dyDescent="0.2">
      <c r="D16" s="2">
        <v>45153</v>
      </c>
      <c r="E16">
        <f>SUMIF(Sheet1!$B:$B,$D16,Sheet1!F:F)</f>
        <v>11</v>
      </c>
      <c r="F16">
        <f>SUMIF(Sheet1!$B:$B,$D16,Sheet1!G:G)</f>
        <v>59</v>
      </c>
      <c r="G16">
        <f>SUMIF(Sheet1!$B:$B,$D16,Sheet1!H:H)</f>
        <v>16</v>
      </c>
      <c r="H16">
        <f t="shared" si="0"/>
        <v>11.99</v>
      </c>
    </row>
    <row r="17" spans="4:8" x14ac:dyDescent="0.2">
      <c r="D17" s="2">
        <v>45154</v>
      </c>
      <c r="E17">
        <f>SUMIF(Sheet1!$B:$B,$D17,Sheet1!F:F)</f>
        <v>17</v>
      </c>
      <c r="F17">
        <f>SUMIF(Sheet1!$B:$B,$D17,Sheet1!G:G)</f>
        <v>196</v>
      </c>
      <c r="G17">
        <f>SUMIF(Sheet1!$B:$B,$D17,Sheet1!H:H)</f>
        <v>249</v>
      </c>
      <c r="H17">
        <f t="shared" si="0"/>
        <v>20.34</v>
      </c>
    </row>
    <row r="18" spans="4:8" x14ac:dyDescent="0.2">
      <c r="D18" s="2">
        <v>45155</v>
      </c>
      <c r="E18">
        <f>SUMIF(Sheet1!$B:$B,$D18,Sheet1!F:F)</f>
        <v>18</v>
      </c>
      <c r="F18">
        <f>SUMIF(Sheet1!$B:$B,$D18,Sheet1!G:G)</f>
        <v>190</v>
      </c>
      <c r="G18">
        <f>SUMIF(Sheet1!$B:$B,$D18,Sheet1!H:H)</f>
        <v>198</v>
      </c>
      <c r="H18">
        <f t="shared" si="0"/>
        <v>21.22</v>
      </c>
    </row>
    <row r="19" spans="4:8" x14ac:dyDescent="0.2">
      <c r="D19" s="2">
        <v>45156</v>
      </c>
      <c r="E19">
        <f>SUMIF(Sheet1!$B:$B,$D19,Sheet1!F:F)</f>
        <v>10</v>
      </c>
      <c r="F19">
        <f>SUMIF(Sheet1!$B:$B,$D19,Sheet1!G:G)</f>
        <v>60</v>
      </c>
      <c r="G19">
        <f>SUMIF(Sheet1!$B:$B,$D19,Sheet1!H:H)</f>
        <v>110</v>
      </c>
      <c r="H19">
        <f t="shared" si="0"/>
        <v>11.03</v>
      </c>
    </row>
    <row r="20" spans="4:8" x14ac:dyDescent="0.2">
      <c r="D20" s="2">
        <v>45157</v>
      </c>
      <c r="E20">
        <f>SUMIF(Sheet1!$B:$B,$D20,Sheet1!F:F)</f>
        <v>21</v>
      </c>
      <c r="F20">
        <f>SUMIF(Sheet1!$B:$B,$D20,Sheet1!G:G)</f>
        <v>150</v>
      </c>
      <c r="G20">
        <f>SUMIF(Sheet1!$B:$B,$D20,Sheet1!H:H)</f>
        <v>161</v>
      </c>
      <c r="H20">
        <f t="shared" si="0"/>
        <v>23.54</v>
      </c>
    </row>
    <row r="21" spans="4:8" x14ac:dyDescent="0.2">
      <c r="D21" s="2">
        <v>45158</v>
      </c>
      <c r="E21">
        <f>SUMIF(Sheet1!$B:$B,$D21,Sheet1!F:F)</f>
        <v>13</v>
      </c>
      <c r="F21">
        <f>SUMIF(Sheet1!$B:$B,$D21,Sheet1!G:G)</f>
        <v>178</v>
      </c>
      <c r="G21">
        <f>SUMIF(Sheet1!$B:$B,$D21,Sheet1!H:H)</f>
        <v>268</v>
      </c>
      <c r="H21">
        <f t="shared" si="0"/>
        <v>16.04</v>
      </c>
    </row>
    <row r="22" spans="4:8" x14ac:dyDescent="0.2">
      <c r="D22" s="2">
        <v>45159</v>
      </c>
      <c r="E22">
        <f>SUMIF(Sheet1!$B:$B,$D22,Sheet1!F:F)</f>
        <v>27</v>
      </c>
      <c r="F22">
        <f>SUMIF(Sheet1!$B:$B,$D22,Sheet1!G:G)</f>
        <v>94</v>
      </c>
      <c r="G22">
        <f>SUMIF(Sheet1!$B:$B,$D22,Sheet1!H:H)</f>
        <v>89</v>
      </c>
      <c r="H22">
        <f t="shared" si="0"/>
        <v>28.59</v>
      </c>
    </row>
    <row r="23" spans="4:8" x14ac:dyDescent="0.2">
      <c r="D23" s="2">
        <v>45160</v>
      </c>
      <c r="E23">
        <f>SUMIF(Sheet1!$B:$B,$D23,Sheet1!F:F)</f>
        <v>14</v>
      </c>
      <c r="F23">
        <f>SUMIF(Sheet1!$B:$B,$D23,Sheet1!G:G)</f>
        <v>76</v>
      </c>
      <c r="G23">
        <f>SUMIF(Sheet1!$B:$B,$D23,Sheet1!H:H)</f>
        <v>38</v>
      </c>
      <c r="H23">
        <f t="shared" si="0"/>
        <v>15.28</v>
      </c>
    </row>
    <row r="24" spans="4:8" x14ac:dyDescent="0.2">
      <c r="D24" s="2">
        <v>45161</v>
      </c>
      <c r="E24">
        <f>SUMIF(Sheet1!$B:$B,$D24,Sheet1!F:F)</f>
        <v>20</v>
      </c>
      <c r="F24">
        <f>SUMIF(Sheet1!$B:$B,$D24,Sheet1!G:G)</f>
        <v>53</v>
      </c>
      <c r="G24">
        <f>SUMIF(Sheet1!$B:$B,$D24,Sheet1!H:H)</f>
        <v>93</v>
      </c>
      <c r="H24">
        <f t="shared" si="0"/>
        <v>20.91</v>
      </c>
    </row>
    <row r="25" spans="4:8" x14ac:dyDescent="0.2">
      <c r="D25" s="2">
        <v>45162</v>
      </c>
      <c r="E25">
        <f>SUMIF(Sheet1!$B:$B,$D25,Sheet1!F:F)</f>
        <v>14</v>
      </c>
      <c r="F25">
        <f>SUMIF(Sheet1!$B:$B,$D25,Sheet1!G:G)</f>
        <v>65</v>
      </c>
      <c r="G25">
        <f>SUMIF(Sheet1!$B:$B,$D25,Sheet1!H:H)</f>
        <v>91</v>
      </c>
      <c r="H25">
        <f t="shared" si="0"/>
        <v>15.11</v>
      </c>
    </row>
    <row r="26" spans="4:8" x14ac:dyDescent="0.2">
      <c r="D26" s="2">
        <v>45163</v>
      </c>
      <c r="E26">
        <f>SUMIF(Sheet1!$B:$B,$D26,Sheet1!F:F)</f>
        <v>8</v>
      </c>
      <c r="F26">
        <f>SUMIF(Sheet1!$B:$B,$D26,Sheet1!G:G)</f>
        <v>6</v>
      </c>
      <c r="G26">
        <f>SUMIF(Sheet1!$B:$B,$D26,Sheet1!H:H)</f>
        <v>15</v>
      </c>
      <c r="H26">
        <f t="shared" si="0"/>
        <v>8.1</v>
      </c>
    </row>
    <row r="27" spans="4:8" x14ac:dyDescent="0.2">
      <c r="D27" s="2">
        <v>45164</v>
      </c>
      <c r="E27">
        <f>SUMIF(Sheet1!$B:$B,$D27,Sheet1!F:F)</f>
        <v>19</v>
      </c>
      <c r="F27">
        <f>SUMIF(Sheet1!$B:$B,$D27,Sheet1!G:G)</f>
        <v>72</v>
      </c>
      <c r="G27">
        <f>SUMIF(Sheet1!$B:$B,$D27,Sheet1!H:H)</f>
        <v>82</v>
      </c>
      <c r="H27">
        <f t="shared" si="0"/>
        <v>20.22</v>
      </c>
    </row>
    <row r="28" spans="4:8" x14ac:dyDescent="0.2">
      <c r="D28" s="2">
        <v>45165</v>
      </c>
      <c r="E28">
        <f>SUMIF(Sheet1!$B:$B,$D28,Sheet1!F:F)</f>
        <v>18</v>
      </c>
      <c r="F28">
        <f>SUMIF(Sheet1!$B:$B,$D28,Sheet1!G:G)</f>
        <v>151</v>
      </c>
      <c r="G28">
        <f>SUMIF(Sheet1!$B:$B,$D28,Sheet1!H:H)</f>
        <v>110</v>
      </c>
      <c r="H28">
        <f t="shared" si="0"/>
        <v>20.55</v>
      </c>
    </row>
    <row r="29" spans="4:8" x14ac:dyDescent="0.2">
      <c r="D29" s="2">
        <v>45166</v>
      </c>
      <c r="E29">
        <f>SUMIF(Sheet1!$B:$B,$D29,Sheet1!F:F)</f>
        <v>19</v>
      </c>
      <c r="F29">
        <f>SUMIF(Sheet1!$B:$B,$D29,Sheet1!G:G)</f>
        <v>84</v>
      </c>
      <c r="G29">
        <f>SUMIF(Sheet1!$B:$B,$D29,Sheet1!H:H)</f>
        <v>135</v>
      </c>
      <c r="H29">
        <f t="shared" si="0"/>
        <v>20.440000000000001</v>
      </c>
    </row>
    <row r="30" spans="4:8" x14ac:dyDescent="0.2">
      <c r="D30" s="2">
        <v>45167</v>
      </c>
      <c r="E30">
        <f>SUMIF(Sheet1!$B:$B,$D30,Sheet1!F:F)</f>
        <v>21</v>
      </c>
      <c r="F30">
        <f>SUMIF(Sheet1!$B:$B,$D30,Sheet1!G:G)</f>
        <v>44</v>
      </c>
      <c r="G30">
        <f>SUMIF(Sheet1!$B:$B,$D30,Sheet1!H:H)</f>
        <v>8</v>
      </c>
      <c r="H30">
        <f t="shared" si="0"/>
        <v>21.74</v>
      </c>
    </row>
    <row r="31" spans="4:8" x14ac:dyDescent="0.2">
      <c r="D31" s="2">
        <v>45168</v>
      </c>
      <c r="E31">
        <f>SUMIF(Sheet1!$B:$B,$D31,Sheet1!F:F)</f>
        <v>19</v>
      </c>
      <c r="F31">
        <f>SUMIF(Sheet1!$B:$B,$D31,Sheet1!G:G)</f>
        <v>96</v>
      </c>
      <c r="G31">
        <f>SUMIF(Sheet1!$B:$B,$D31,Sheet1!H:H)</f>
        <v>90</v>
      </c>
      <c r="H31">
        <f t="shared" si="0"/>
        <v>20.63</v>
      </c>
    </row>
    <row r="32" spans="4:8" x14ac:dyDescent="0.2">
      <c r="D32" s="2">
        <v>45169</v>
      </c>
      <c r="E32">
        <f>SUMIF(Sheet1!$B:$B,$D32,Sheet1!F:F)</f>
        <v>15</v>
      </c>
      <c r="F32">
        <f>SUMIF(Sheet1!$B:$B,$D32,Sheet1!G:G)</f>
        <v>123</v>
      </c>
      <c r="G32">
        <f>SUMIF(Sheet1!$B:$B,$D32,Sheet1!H:H)</f>
        <v>166</v>
      </c>
      <c r="H32">
        <f t="shared" si="0"/>
        <v>17.100000000000001</v>
      </c>
    </row>
    <row r="33" spans="4:8" x14ac:dyDescent="0.2">
      <c r="D33" s="2">
        <v>45170</v>
      </c>
      <c r="E33">
        <f>SUMIF(Sheet1!$B:$B,$D33,Sheet1!F:F)</f>
        <v>15</v>
      </c>
      <c r="F33">
        <f>SUMIF(Sheet1!$B:$B,$D33,Sheet1!G:G)</f>
        <v>96</v>
      </c>
      <c r="G33">
        <f>SUMIF(Sheet1!$B:$B,$D33,Sheet1!H:H)</f>
        <v>25</v>
      </c>
      <c r="H33">
        <f t="shared" si="0"/>
        <v>16.61</v>
      </c>
    </row>
    <row r="34" spans="4:8" x14ac:dyDescent="0.2">
      <c r="D34" s="2">
        <v>45180</v>
      </c>
      <c r="E34">
        <f>SUMIF(Sheet1!$B:$B,$D34,Sheet1!F:F)</f>
        <v>1</v>
      </c>
      <c r="F34">
        <f>SUMIF(Sheet1!$B:$B,$D34,Sheet1!G:G)</f>
        <v>14</v>
      </c>
      <c r="G34">
        <f>SUMIF(Sheet1!$B:$B,$D34,Sheet1!H:H)</f>
        <v>16</v>
      </c>
      <c r="H34">
        <f t="shared" si="0"/>
        <v>1.24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 李</dc:creator>
  <cp:lastModifiedBy>涵 李</cp:lastModifiedBy>
  <dcterms:created xsi:type="dcterms:W3CDTF">2023-09-13T15:40:15Z</dcterms:created>
  <dcterms:modified xsi:type="dcterms:W3CDTF">2023-09-15T08:49:40Z</dcterms:modified>
</cp:coreProperties>
</file>